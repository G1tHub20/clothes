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xampp\htdocs\clothes\"/>
    </mc:Choice>
  </mc:AlternateContent>
  <xr:revisionPtr revIDLastSave="0" documentId="13_ncr:1_{8B7E4AB1-300D-47BB-AC4D-B5ACBA1BEE28}" xr6:coauthVersionLast="47" xr6:coauthVersionMax="47" xr10:uidLastSave="{00000000-0000-0000-0000-000000000000}"/>
  <bookViews>
    <workbookView xWindow="-108" yWindow="-108" windowWidth="23256" windowHeight="12576" activeTab="4" xr2:uid="{00000000-000D-0000-FFFF-FFFF00000000}"/>
  </bookViews>
  <sheets>
    <sheet name="テーブル作成" sheetId="1" r:id="rId1"/>
    <sheet name="一時" sheetId="2" r:id="rId2"/>
    <sheet name="SQL" sheetId="3" r:id="rId3"/>
    <sheet name="Sheet1" sheetId="4" r:id="rId4"/>
    <sheet name="Shopify" sheetId="5" r:id="rId5"/>
    <sheet name="テスト" sheetId="6" r:id="rId6"/>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19" i="3" l="1"/>
  <c r="K18" i="3"/>
  <c r="K17" i="3"/>
  <c r="K16" i="3"/>
  <c r="K15" i="3"/>
  <c r="C15" i="3"/>
  <c r="C16" i="3"/>
  <c r="C17" i="3"/>
  <c r="C18" i="3"/>
  <c r="C19" i="3"/>
  <c r="C20" i="3"/>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<sst xmlns="http://schemas.openxmlformats.org/spreadsheetml/2006/main" count="2010" uniqueCount="252">
  <si>
    <t>ID</t>
  </si>
  <si>
    <t>商品コード</t>
  </si>
  <si>
    <t>商品区分2+メーカー名2</t>
  </si>
  <si>
    <t>連番</t>
  </si>
  <si>
    <t>カテゴリー</t>
  </si>
  <si>
    <t>商品区分2</t>
  </si>
  <si>
    <t>ターゲット</t>
  </si>
  <si>
    <t>色</t>
  </si>
  <si>
    <t>サイズ</t>
  </si>
  <si>
    <t>メーカー</t>
  </si>
  <si>
    <t>メーカー名2</t>
  </si>
  <si>
    <t>価格</t>
  </si>
  <si>
    <t>価格2</t>
  </si>
  <si>
    <t>登録日</t>
  </si>
  <si>
    <t>登録日2</t>
  </si>
  <si>
    <t>TS-E003</t>
  </si>
  <si>
    <t>TS-E</t>
  </si>
  <si>
    <t>Tシャツ</t>
  </si>
  <si>
    <t>TS</t>
  </si>
  <si>
    <t>男女共用</t>
  </si>
  <si>
    <t>グレー</t>
  </si>
  <si>
    <t>SS</t>
  </si>
  <si>
    <t>メーカーE</t>
  </si>
  <si>
    <t>E</t>
  </si>
  <si>
    <t>1000円</t>
  </si>
  <si>
    <t>TS-D003</t>
  </si>
  <si>
    <t>TS-D</t>
  </si>
  <si>
    <t>メンズ</t>
  </si>
  <si>
    <t>青</t>
  </si>
  <si>
    <t>メーカーD</t>
  </si>
  <si>
    <t>D</t>
  </si>
  <si>
    <t>TS-A005</t>
  </si>
  <si>
    <t>TS-A</t>
  </si>
  <si>
    <t>白</t>
  </si>
  <si>
    <t>S</t>
  </si>
  <si>
    <t>メーカーA</t>
  </si>
  <si>
    <t>A</t>
  </si>
  <si>
    <t>TS-B004</t>
  </si>
  <si>
    <t>TS-B</t>
  </si>
  <si>
    <t>黒</t>
  </si>
  <si>
    <t>LL</t>
  </si>
  <si>
    <t>メーカーB</t>
  </si>
  <si>
    <t>B</t>
  </si>
  <si>
    <t>TS-B002</t>
  </si>
  <si>
    <t>レディース</t>
  </si>
  <si>
    <t>TS-C005</t>
  </si>
  <si>
    <t>TS-C</t>
  </si>
  <si>
    <t>フリー</t>
  </si>
  <si>
    <t>メーカーC</t>
  </si>
  <si>
    <t>C</t>
  </si>
  <si>
    <t>1500円</t>
  </si>
  <si>
    <t>TS-D005</t>
  </si>
  <si>
    <t>TS-D002</t>
  </si>
  <si>
    <t>ピンク</t>
  </si>
  <si>
    <t>2000円</t>
  </si>
  <si>
    <t>TS-B003</t>
  </si>
  <si>
    <t>TS-C004</t>
  </si>
  <si>
    <t>L</t>
  </si>
  <si>
    <t>TS-B007</t>
  </si>
  <si>
    <t>キッズ</t>
  </si>
  <si>
    <t>TS-A004</t>
  </si>
  <si>
    <t>赤</t>
  </si>
  <si>
    <t>3000円</t>
  </si>
  <si>
    <t>TS-C003</t>
  </si>
  <si>
    <t>紫</t>
  </si>
  <si>
    <t>TS-B006</t>
  </si>
  <si>
    <t>黄</t>
  </si>
  <si>
    <t>TS-B001</t>
  </si>
  <si>
    <t>TS-A007</t>
  </si>
  <si>
    <t>TS-A002</t>
  </si>
  <si>
    <t>TS-E001</t>
  </si>
  <si>
    <t>3L</t>
  </si>
  <si>
    <t>TS-D004</t>
  </si>
  <si>
    <t>TS-C006</t>
  </si>
  <si>
    <t>TS-A003</t>
  </si>
  <si>
    <t>TS-C001</t>
  </si>
  <si>
    <t>5000円</t>
  </si>
  <si>
    <t>TS-E002</t>
  </si>
  <si>
    <t>TS-B005</t>
  </si>
  <si>
    <t>M</t>
  </si>
  <si>
    <t>TS-A001</t>
  </si>
  <si>
    <t>TS-C002</t>
  </si>
  <si>
    <t>10000円</t>
  </si>
  <si>
    <t>TS-A006</t>
  </si>
  <si>
    <t>TS-D001</t>
  </si>
  <si>
    <t>CT-D001</t>
  </si>
  <si>
    <t>CT-D</t>
  </si>
  <si>
    <t>コート</t>
  </si>
  <si>
    <t>CT</t>
  </si>
  <si>
    <t>CT-E007</t>
  </si>
  <si>
    <t>CT-E</t>
  </si>
  <si>
    <t>CT-C002</t>
  </si>
  <si>
    <t>CT-C</t>
  </si>
  <si>
    <t>CT-C009</t>
  </si>
  <si>
    <t>CT-C005</t>
  </si>
  <si>
    <t>CT-C004</t>
  </si>
  <si>
    <t>CT-A002</t>
  </si>
  <si>
    <t>CT-A</t>
  </si>
  <si>
    <t>CT-C007</t>
  </si>
  <si>
    <t>CT-A004</t>
  </si>
  <si>
    <t>CT-E001</t>
  </si>
  <si>
    <t>CT-B001</t>
  </si>
  <si>
    <t>CT-B</t>
  </si>
  <si>
    <t>CT-E006</t>
  </si>
  <si>
    <t>CT-C008</t>
  </si>
  <si>
    <t>CT-C006</t>
  </si>
  <si>
    <t>CT-E003</t>
  </si>
  <si>
    <t>CT-E004</t>
  </si>
  <si>
    <t>CT-C001</t>
  </si>
  <si>
    <t>CT-A003</t>
  </si>
  <si>
    <t>CT-A001</t>
  </si>
  <si>
    <t>CT-E005</t>
  </si>
  <si>
    <t>CT-C003</t>
  </si>
  <si>
    <t>CT-E002</t>
  </si>
  <si>
    <t>CT-C010</t>
  </si>
  <si>
    <t>JK-E004</t>
  </si>
  <si>
    <t>JK-E</t>
  </si>
  <si>
    <t>ジャケット</t>
  </si>
  <si>
    <t>JK</t>
  </si>
  <si>
    <t>JK-D005</t>
  </si>
  <si>
    <t>JK-D</t>
  </si>
  <si>
    <t>JK-D002</t>
  </si>
  <si>
    <t>JK-A001</t>
  </si>
  <si>
    <t>JK-A</t>
  </si>
  <si>
    <t>JK-A003</t>
  </si>
  <si>
    <t>JK-B001</t>
  </si>
  <si>
    <t>JK-B</t>
  </si>
  <si>
    <t>JK-E003</t>
  </si>
  <si>
    <t>JK-D003</t>
  </si>
  <si>
    <t>JK-C002</t>
  </si>
  <si>
    <t>JK-C</t>
  </si>
  <si>
    <t>JK-C005</t>
  </si>
  <si>
    <t>JK-C001</t>
  </si>
  <si>
    <t>JK-C004</t>
  </si>
  <si>
    <t>JK-E005</t>
  </si>
  <si>
    <t>JK-D007</t>
  </si>
  <si>
    <t>JK-B002</t>
  </si>
  <si>
    <t>JK-E002</t>
  </si>
  <si>
    <t>JK-C003</t>
  </si>
  <si>
    <t>JK-E001</t>
  </si>
  <si>
    <t>JK-D006</t>
  </si>
  <si>
    <t>JK-A002</t>
  </si>
  <si>
    <t>JK-B004</t>
  </si>
  <si>
    <t>JK-B003</t>
  </si>
  <si>
    <t>JK-A004</t>
  </si>
  <si>
    <t>JK-D001</t>
  </si>
  <si>
    <t>JK-D004</t>
  </si>
  <si>
    <t>PS-B004</t>
  </si>
  <si>
    <t>PS-B</t>
  </si>
  <si>
    <t>ポロシャツ</t>
  </si>
  <si>
    <t>PS</t>
  </si>
  <si>
    <t>PS-C005</t>
  </si>
  <si>
    <t>PS-C</t>
  </si>
  <si>
    <t>PS-C002</t>
  </si>
  <si>
    <t>PS-D001</t>
  </si>
  <si>
    <t>PS-D</t>
  </si>
  <si>
    <t>PS-C006</t>
  </si>
  <si>
    <t>PS-B002</t>
  </si>
  <si>
    <t>PS-C003</t>
  </si>
  <si>
    <t>PS-A002</t>
  </si>
  <si>
    <t>PS-A</t>
  </si>
  <si>
    <t>PS-C007</t>
  </si>
  <si>
    <t>PS-C001</t>
  </si>
  <si>
    <t>PS-E002</t>
  </si>
  <si>
    <t>PS-E</t>
  </si>
  <si>
    <t>PS-A004</t>
  </si>
  <si>
    <t>PS-E004</t>
  </si>
  <si>
    <t>PS-E003</t>
  </si>
  <si>
    <t>PS-E001</t>
  </si>
  <si>
    <t>PS-A005</t>
  </si>
  <si>
    <t>PS-D003</t>
  </si>
  <si>
    <t>PS-D002</t>
  </si>
  <si>
    <t>PS-B003</t>
  </si>
  <si>
    <t>PS-A001</t>
  </si>
  <si>
    <t>PS-C004</t>
  </si>
  <si>
    <t>PS-B005</t>
  </si>
  <si>
    <t>PS-A003</t>
  </si>
  <si>
    <t>PS-B001</t>
  </si>
  <si>
    <t>商品コード</t>
    <phoneticPr fontId="18"/>
  </si>
  <si>
    <t>SELECT * FROM `items`;</t>
    <phoneticPr fontId="18"/>
  </si>
  <si>
    <t>SELECT * FROM `items` WHERE user IN ('メンズ', '男女共用');</t>
    <phoneticPr fontId="18"/>
  </si>
  <si>
    <t>// 全て指定</t>
    <rPh sb="3" eb="4">
      <t>スベ</t>
    </rPh>
    <rPh sb="5" eb="7">
      <t>シテイ</t>
    </rPh>
    <phoneticPr fontId="18"/>
  </si>
  <si>
    <t>// ユーザーのみ指定</t>
    <rPh sb="9" eb="11">
      <t>シテイ</t>
    </rPh>
    <phoneticPr fontId="18"/>
  </si>
  <si>
    <t>// 何も指定しない</t>
    <rPh sb="3" eb="4">
      <t>ナニ</t>
    </rPh>
    <rPh sb="5" eb="7">
      <t>シテイ</t>
    </rPh>
    <phoneticPr fontId="18"/>
  </si>
  <si>
    <t>SELECT * FROM items WHERE category IN ('ジャケット') AND user IN ('メンズ', '男女共用') AND color IN ('赤', '黒') AND size IN ('S', 'L', 'フリー') AND company IN ('A社', 'B社', 'D社') AND price BETWEEN 1000 AND 10000;</t>
    <rPh sb="148" eb="149">
      <t>シャ</t>
    </rPh>
    <rPh sb="154" eb="155">
      <t>シャ</t>
    </rPh>
    <rPh sb="160" eb="161">
      <t>シャ</t>
    </rPh>
    <phoneticPr fontId="18"/>
  </si>
  <si>
    <t>id</t>
    <phoneticPr fontId="18"/>
  </si>
  <si>
    <t>code</t>
    <phoneticPr fontId="18"/>
  </si>
  <si>
    <t>category</t>
    <phoneticPr fontId="18"/>
  </si>
  <si>
    <t>user</t>
    <phoneticPr fontId="18"/>
  </si>
  <si>
    <t>color</t>
    <phoneticPr fontId="18"/>
  </si>
  <si>
    <t>size</t>
    <phoneticPr fontId="18"/>
  </si>
  <si>
    <t>company</t>
    <phoneticPr fontId="18"/>
  </si>
  <si>
    <t>price</t>
    <phoneticPr fontId="18"/>
  </si>
  <si>
    <t>created_at</t>
    <phoneticPr fontId="18"/>
  </si>
  <si>
    <t>$all_</t>
    <phoneticPr fontId="18"/>
  </si>
  <si>
    <t>="</t>
    <phoneticPr fontId="18"/>
  </si>
  <si>
    <t>"</t>
    <phoneticPr fontId="18"/>
  </si>
  <si>
    <t>'黒', '黄', '青', '赤', '紫', '白', 'ピンク', 'グレー'</t>
    <phoneticPr fontId="18"/>
  </si>
  <si>
    <t>'メンズ', 'レディース', '男女共用', 'キッズ'</t>
    <phoneticPr fontId="18"/>
  </si>
  <si>
    <t>'SS', 'S', 'M', 'L', 'LL', '3L', 'フリー'</t>
    <phoneticPr fontId="18"/>
  </si>
  <si>
    <t>'A社', 'B社', 'C社', 'D社', 'E社'</t>
    <phoneticPr fontId="18"/>
  </si>
  <si>
    <t xml:space="preserve"> IN(</t>
    <phoneticPr fontId="18"/>
  </si>
  <si>
    <t>)</t>
    <phoneticPr fontId="18"/>
  </si>
  <si>
    <t xml:space="preserve">AND </t>
    <phoneticPr fontId="18"/>
  </si>
  <si>
    <t>'コート', 'ジャケット', 'ポロシャツ', 'Tシャツ'</t>
    <phoneticPr fontId="18"/>
  </si>
  <si>
    <t>SELECT * FROM items WHERE category IN('コート', 'ジャケット', 'ポロシャツ', 'Tシャツ') AND user IN('メンズ', 'レディース', '男女共用', 'キッズ') AND color IN('黒', '黄', '青', '赤', '紫', '白', 'ピンク', 'グレー') AND size IN('SS', 'S', 'M', 'L', 'LL', '3L', 'フリー') AND company IN('A社', 'B社', 'C社', 'D社', 'E社') AND price BETWEEN 1000 AND 10000;</t>
    <phoneticPr fontId="18"/>
  </si>
  <si>
    <t>$all_category</t>
  </si>
  <si>
    <t>$all_user</t>
  </si>
  <si>
    <t>$all_color</t>
  </si>
  <si>
    <t>$all_size</t>
    <phoneticPr fontId="18"/>
  </si>
  <si>
    <t>$all_company</t>
    <phoneticPr fontId="18"/>
  </si>
  <si>
    <t>$all_price</t>
    <phoneticPr fontId="18"/>
  </si>
  <si>
    <t>SELECT * FROM items WHERE category IN (?,?,?,?) AND user IN (?,?,?,?) AND color IN (?,?,?,?,?,?,?,?) AND size IN (?,?,?,?,?,?,?) AND company IN (?,?,?,?,?)</t>
    <phoneticPr fontId="18"/>
  </si>
  <si>
    <t>0 =&gt; 'メンズ', 1 =&gt; 'レディース', 2 =&gt; '男女共用', 3 =&gt; 'キッズ'</t>
    <phoneticPr fontId="18"/>
  </si>
  <si>
    <t>0 =&gt; 'コート', 1 =&gt; 'ジャケット', 2 =&gt; 'ポロシャツ', 3 =&gt; 'Tシャツ'</t>
    <phoneticPr fontId="18"/>
  </si>
  <si>
    <t>0 =&gt; '黒', 1 =&gt; '黄', 2 =&gt; '青', 3 =&gt; '赤', 4 =&gt; '紫', 5 =&gt; '白', 6 =&gt; 'ピンク', 7 =&gt; 'グレー'</t>
    <phoneticPr fontId="18"/>
  </si>
  <si>
    <t>0 =&gt; 'SS', 1 =&gt; 'S', 2 =&gt; 'M', 3 =&gt; 'L', 4 =&gt; 'LL', 5 =&gt; '3L', 6 =&gt; 'フリー'</t>
    <phoneticPr fontId="18"/>
  </si>
  <si>
    <t>0 =&gt; 'A社', 1 =&gt; 'B社', 2 =&gt; 'C社', 3 =&gt; 'D社', 4 =&gt; 'E社'</t>
    <phoneticPr fontId="18"/>
  </si>
  <si>
    <t>https://kiziarai.com/fabrics</t>
    <phoneticPr fontId="18"/>
  </si>
  <si>
    <t>KIZIARAI</t>
    <phoneticPr fontId="18"/>
  </si>
  <si>
    <t>素材種類</t>
    <rPh sb="0" eb="2">
      <t>ソザイ</t>
    </rPh>
    <rPh sb="2" eb="4">
      <t>シュルイ</t>
    </rPh>
    <phoneticPr fontId="18"/>
  </si>
  <si>
    <t>混率</t>
    <rPh sb="0" eb="2">
      <t>コンリツ</t>
    </rPh>
    <phoneticPr fontId="18"/>
  </si>
  <si>
    <t>機能・加工</t>
    <rPh sb="0" eb="2">
      <t>キノウ</t>
    </rPh>
    <rPh sb="3" eb="5">
      <t>カコウ</t>
    </rPh>
    <phoneticPr fontId="18"/>
  </si>
  <si>
    <t>アイテム</t>
    <phoneticPr fontId="18"/>
  </si>
  <si>
    <t>こだわり条件</t>
    <rPh sb="4" eb="6">
      <t>ジョウケン</t>
    </rPh>
    <phoneticPr fontId="18"/>
  </si>
  <si>
    <t>Shopify</t>
    <phoneticPr fontId="18"/>
  </si>
  <si>
    <t>Shopify ストア開設セミナー #1 | 商品追加からデザインまで</t>
    <phoneticPr fontId="18"/>
  </si>
  <si>
    <t>https://www.youtube.com/watch?v=Y9TrVMaAwSQ</t>
    <phoneticPr fontId="18"/>
  </si>
  <si>
    <t>商品の管理画面</t>
    <rPh sb="0" eb="2">
      <t>ショウヒン</t>
    </rPh>
    <rPh sb="3" eb="7">
      <t>カンリガメン</t>
    </rPh>
    <phoneticPr fontId="18"/>
  </si>
  <si>
    <t>購入ボタンを埋め込む</t>
    <rPh sb="0" eb="2">
      <t>コウニュウ</t>
    </rPh>
    <rPh sb="6" eb="7">
      <t>ウ</t>
    </rPh>
    <rPh sb="8" eb="9">
      <t>コ</t>
    </rPh>
    <phoneticPr fontId="18"/>
  </si>
  <si>
    <t>https://www.youtube.com/watch?v=BjTla6r-Htk</t>
    <phoneticPr fontId="18"/>
  </si>
  <si>
    <t>【5分でわかる】Shopify liteとは？</t>
    <phoneticPr fontId="18"/>
  </si>
  <si>
    <t>項目</t>
    <rPh sb="0" eb="2">
      <t>コウモク</t>
    </rPh>
    <phoneticPr fontId="18"/>
  </si>
  <si>
    <t>期待</t>
    <rPh sb="0" eb="2">
      <t>キタイ</t>
    </rPh>
    <phoneticPr fontId="18"/>
  </si>
  <si>
    <t>100取得</t>
    <rPh sb="3" eb="5">
      <t>シュトク</t>
    </rPh>
    <phoneticPr fontId="18"/>
  </si>
  <si>
    <t>カテゴリー</t>
    <phoneticPr fontId="18"/>
  </si>
  <si>
    <t>ターゲット</t>
    <phoneticPr fontId="18"/>
  </si>
  <si>
    <t>色</t>
    <rPh sb="0" eb="1">
      <t>イロ</t>
    </rPh>
    <phoneticPr fontId="18"/>
  </si>
  <si>
    <t>サイズ</t>
    <phoneticPr fontId="18"/>
  </si>
  <si>
    <t>メーカー</t>
    <phoneticPr fontId="18"/>
  </si>
  <si>
    <t>価格</t>
    <rPh sb="0" eb="2">
      <t>カカク</t>
    </rPh>
    <phoneticPr fontId="18"/>
  </si>
  <si>
    <t>条件指定</t>
    <rPh sb="0" eb="2">
      <t>ジョウケン</t>
    </rPh>
    <rPh sb="2" eb="4">
      <t>シテイ</t>
    </rPh>
    <phoneticPr fontId="18"/>
  </si>
  <si>
    <t>なし</t>
    <phoneticPr fontId="18"/>
  </si>
  <si>
    <t>色='</t>
  </si>
  <si>
    <t>サイズ='</t>
  </si>
  <si>
    <t>メーカー='</t>
  </si>
  <si>
    <t>価格='</t>
  </si>
  <si>
    <t>ターゲット='男女共用'</t>
    <phoneticPr fontId="18"/>
  </si>
  <si>
    <t>カテゴリー='コート'</t>
    <phoneticPr fontId="18"/>
  </si>
  <si>
    <t>SELECT * FROM items WHERE category IN ('コート','ジャケット','ポロシャツ','Tシャツ') AND user IN ('メンズ','レディース','男女共用','キッズ') AND color IN ('黒','黄','青','赤','紫','白','ピンク','グレー') AND size IN ('SS','S','M','L','LL','3L','フリー') AND company IN ('A社','B社','C社','D社','E社')</t>
    <phoneticPr fontId="18"/>
  </si>
  <si>
    <t>php select 選択状態を保持する</t>
    <phoneticPr fontId="18"/>
  </si>
  <si>
    <t>https://aw1.jp/web/php-select-%E9%81%B8%E6%8A%9E%E7%8A%B6%E6%85%8B%E3%82%92%E4%BF%9D%E6%8C%81%E3%81%99%E3%82%8B/</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</si>
</sst>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円&quot;"/>
  </numFmts>
  <fonts count="2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u/>
      <sz val="11"/>
      <color theme="10"/>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7">
    <xf numFmtId="0" fontId="0" fillId="0" borderId="0" xfId="0">
      <alignment vertical="center"/>
    </xf>
    <xf numFmtId="14" fontId="0" fillId="0" borderId="0" xfId="0" applyNumberFormat="1">
      <alignment vertical="center"/>
    </xf>
    <xf numFmtId="22" fontId="0" fillId="0" borderId="0" xfId="0" applyNumberFormat="1">
      <alignment vertical="center"/>
    </xf>
    <xf numFmtId="176" fontId="0" fillId="0" borderId="0" xfId="0" applyNumberFormat="1">
      <alignment vertical="center"/>
    </xf>
    <xf numFmtId="0" fontId="14" fillId="0" borderId="0" xfId="0" applyFont="1">
      <alignment vertical="center"/>
    </xf>
    <xf numFmtId="0" fontId="0" fillId="0" borderId="0" xfId="0" quotePrefix="1">
      <alignment vertical="center"/>
    </xf>
    <xf numFmtId="0" fontId="19" fillId="0" borderId="0" xfId="42">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2">
    <dxf>
      <numFmt numFmtId="19" formatCode="yyyy/m/d"/>
    </dxf>
    <dxf>
      <numFmt numFmtId="176" formatCode="0&quot;円&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23</xdr:col>
      <xdr:colOff>447675</xdr:colOff>
      <xdr:row>0</xdr:row>
      <xdr:rowOff>152400</xdr:rowOff>
    </xdr:from>
    <xdr:to>
      <xdr:col>31</xdr:col>
      <xdr:colOff>139767</xdr:colOff>
      <xdr:row>132</xdr:row>
      <xdr:rowOff>191622</xdr:rowOff>
    </xdr:to>
    <xdr:pic>
      <xdr:nvPicPr>
        <xdr:cNvPr id="2" name="図 1">
          <a:extLst>
            <a:ext uri="{FF2B5EF4-FFF2-40B4-BE49-F238E27FC236}">
              <a16:creationId xmlns:a16="http://schemas.microsoft.com/office/drawing/2014/main" id="{36B19B6F-52FA-715C-FFE4-BE03ED271291}"/>
            </a:ext>
          </a:extLst>
        </xdr:cNvPr>
        <xdr:cNvPicPr>
          <a:picLocks noChangeAspect="1"/>
        </xdr:cNvPicPr>
      </xdr:nvPicPr>
      <xdr:blipFill>
        <a:blip xmlns:r="http://schemas.openxmlformats.org/officeDocument/2006/relationships" r:embed="rId1"/>
        <a:stretch>
          <a:fillRect/>
        </a:stretch>
      </xdr:blipFill>
      <xdr:spPr>
        <a:xfrm>
          <a:off x="11887200" y="152400"/>
          <a:ext cx="5026092" cy="80402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23</xdr:col>
      <xdr:colOff>616898</xdr:colOff>
      <xdr:row>19</xdr:row>
      <xdr:rowOff>19563</xdr:rowOff>
    </xdr:to>
    <xdr:pic>
      <xdr:nvPicPr>
        <xdr:cNvPr id="2" name="図 1">
          <a:extLst>
            <a:ext uri="{FF2B5EF4-FFF2-40B4-BE49-F238E27FC236}">
              <a16:creationId xmlns:a16="http://schemas.microsoft.com/office/drawing/2014/main" id="{E1042279-7FF6-5E99-2C3E-D5C5E0BAC415}"/>
            </a:ext>
          </a:extLst>
        </xdr:cNvPr>
        <xdr:cNvPicPr>
          <a:picLocks noChangeAspect="1"/>
        </xdr:cNvPicPr>
      </xdr:nvPicPr>
      <xdr:blipFill>
        <a:blip xmlns:r="http://schemas.openxmlformats.org/officeDocument/2006/relationships" r:embed="rId1"/>
        <a:stretch>
          <a:fillRect/>
        </a:stretch>
      </xdr:blipFill>
      <xdr:spPr>
        <a:xfrm>
          <a:off x="4693920" y="685800"/>
          <a:ext cx="11345858" cy="36771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10</xdr:row>
      <xdr:rowOff>0</xdr:rowOff>
    </xdr:from>
    <xdr:to>
      <xdr:col>22</xdr:col>
      <xdr:colOff>272326</xdr:colOff>
      <xdr:row>41</xdr:row>
      <xdr:rowOff>201042</xdr:rowOff>
    </xdr:to>
    <xdr:pic>
      <xdr:nvPicPr>
        <xdr:cNvPr id="2" name="図 1">
          <a:extLst>
            <a:ext uri="{FF2B5EF4-FFF2-40B4-BE49-F238E27FC236}">
              <a16:creationId xmlns:a16="http://schemas.microsoft.com/office/drawing/2014/main" id="{98715A81-6BFC-BE43-17D9-C85A791CB5D4}"/>
            </a:ext>
          </a:extLst>
        </xdr:cNvPr>
        <xdr:cNvPicPr>
          <a:picLocks noChangeAspect="1"/>
        </xdr:cNvPicPr>
      </xdr:nvPicPr>
      <xdr:blipFill>
        <a:blip xmlns:r="http://schemas.openxmlformats.org/officeDocument/2006/relationships" r:embed="rId1"/>
        <a:stretch>
          <a:fillRect/>
        </a:stretch>
      </xdr:blipFill>
      <xdr:spPr>
        <a:xfrm>
          <a:off x="2011680" y="2286000"/>
          <a:ext cx="13012966" cy="7287642"/>
        </a:xfrm>
        <a:prstGeom prst="rect">
          <a:avLst/>
        </a:prstGeom>
      </xdr:spPr>
    </xdr:pic>
    <xdr:clientData/>
  </xdr:twoCellAnchor>
  <xdr:twoCellAnchor editAs="oneCell">
    <xdr:from>
      <xdr:col>4</xdr:col>
      <xdr:colOff>249381</xdr:colOff>
      <xdr:row>35</xdr:row>
      <xdr:rowOff>138545</xdr:rowOff>
    </xdr:from>
    <xdr:to>
      <xdr:col>12</xdr:col>
      <xdr:colOff>168031</xdr:colOff>
      <xdr:row>54</xdr:row>
      <xdr:rowOff>94119</xdr:rowOff>
    </xdr:to>
    <xdr:pic>
      <xdr:nvPicPr>
        <xdr:cNvPr id="3" name="図 2">
          <a:extLst>
            <a:ext uri="{FF2B5EF4-FFF2-40B4-BE49-F238E27FC236}">
              <a16:creationId xmlns:a16="http://schemas.microsoft.com/office/drawing/2014/main" id="{4C91C109-75FF-E741-27EA-1576EFC276D1}"/>
            </a:ext>
          </a:extLst>
        </xdr:cNvPr>
        <xdr:cNvPicPr>
          <a:picLocks noChangeAspect="1"/>
        </xdr:cNvPicPr>
      </xdr:nvPicPr>
      <xdr:blipFill>
        <a:blip xmlns:r="http://schemas.openxmlformats.org/officeDocument/2006/relationships" r:embed="rId2"/>
        <a:stretch>
          <a:fillRect/>
        </a:stretch>
      </xdr:blipFill>
      <xdr:spPr>
        <a:xfrm>
          <a:off x="2909454" y="8382000"/>
          <a:ext cx="5238795" cy="44305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0</xdr:colOff>
      <xdr:row>1</xdr:row>
      <xdr:rowOff>0</xdr:rowOff>
    </xdr:from>
    <xdr:to>
      <xdr:col>22</xdr:col>
      <xdr:colOff>305773</xdr:colOff>
      <xdr:row>23</xdr:row>
      <xdr:rowOff>212188</xdr:rowOff>
    </xdr:to>
    <xdr:pic>
      <xdr:nvPicPr>
        <xdr:cNvPr id="2" name="図 1">
          <a:extLst>
            <a:ext uri="{FF2B5EF4-FFF2-40B4-BE49-F238E27FC236}">
              <a16:creationId xmlns:a16="http://schemas.microsoft.com/office/drawing/2014/main" id="{7D3F9C42-B550-FF2A-D693-BEC80B498103}"/>
            </a:ext>
          </a:extLst>
        </xdr:cNvPr>
        <xdr:cNvPicPr>
          <a:picLocks noChangeAspect="1"/>
        </xdr:cNvPicPr>
      </xdr:nvPicPr>
      <xdr:blipFill>
        <a:blip xmlns:r="http://schemas.openxmlformats.org/officeDocument/2006/relationships" r:embed="rId1"/>
        <a:stretch>
          <a:fillRect/>
        </a:stretch>
      </xdr:blipFill>
      <xdr:spPr>
        <a:xfrm>
          <a:off x="8001000" y="228600"/>
          <a:ext cx="6973273" cy="524710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テーブル1" displayName="テーブル1" ref="C1:O101" totalsRowShown="0">
  <autoFilter ref="C1:O101" xr:uid="{00000000-000C-0000-FFFF-FFFF00000000}">
    <filterColumn colId="3">
      <filters>
        <filter val="ジャケット"/>
      </filters>
    </filterColumn>
    <filterColumn colId="5">
      <filters>
        <filter val="メンズ"/>
        <filter val="男女共用"/>
      </filters>
    </filterColumn>
    <filterColumn colId="6">
      <filters>
        <filter val="黒"/>
        <filter val="赤"/>
      </filters>
    </filterColumn>
    <filterColumn colId="7">
      <filters>
        <filter val="L"/>
        <filter val="S"/>
        <filter val="フリー"/>
      </filters>
    </filterColumn>
    <filterColumn colId="8">
      <filters>
        <filter val="メーカーA"/>
        <filter val="メーカーB"/>
        <filter val="メーカーD"/>
      </filters>
    </filterColumn>
  </autoFilter>
  <tableColumns count="13">
    <tableColumn id="1" xr3:uid="{00000000-0010-0000-0000-000001000000}" name="商品コード"/>
    <tableColumn id="2" xr3:uid="{00000000-0010-0000-0000-000002000000}" name="商品区分2+メーカー名2"/>
    <tableColumn id="3" xr3:uid="{00000000-0010-0000-0000-000003000000}" name="連番"/>
    <tableColumn id="4" xr3:uid="{00000000-0010-0000-0000-000004000000}" name="カテゴリー"/>
    <tableColumn id="5" xr3:uid="{00000000-0010-0000-0000-000005000000}" name="商品区分2"/>
    <tableColumn id="6" xr3:uid="{00000000-0010-0000-0000-000006000000}" name="ターゲット"/>
    <tableColumn id="7" xr3:uid="{00000000-0010-0000-0000-000007000000}" name="色"/>
    <tableColumn id="8" xr3:uid="{00000000-0010-0000-0000-000008000000}" name="サイズ"/>
    <tableColumn id="9" xr3:uid="{00000000-0010-0000-0000-000009000000}" name="メーカー"/>
    <tableColumn id="10" xr3:uid="{00000000-0010-0000-0000-00000A000000}" name="メーカー名2"/>
    <tableColumn id="11" xr3:uid="{00000000-0010-0000-0000-00000B000000}" name="価格" dataDxfId="1">
      <calculatedColumnFormula>N2</calculatedColumnFormula>
    </tableColumn>
    <tableColumn id="12" xr3:uid="{00000000-0010-0000-0000-00000C000000}" name="価格2"/>
    <tableColumn id="13" xr3:uid="{00000000-0010-0000-0000-00000D000000}" name="登録日" dataDxfId="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kiziarai.com/fabric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youtube.com/watch?v=BjTla6r-Htk" TargetMode="External"/><Relationship Id="rId2" Type="http://schemas.openxmlformats.org/officeDocument/2006/relationships/hyperlink" Target="https://kiziarai.com/fabrics" TargetMode="External"/><Relationship Id="rId1" Type="http://schemas.openxmlformats.org/officeDocument/2006/relationships/hyperlink" Target="https://www.youtube.com/watch?v=Y9TrVMaAwSQ" TargetMode="External"/><Relationship Id="rId5" Type="http://schemas.openxmlformats.org/officeDocument/2006/relationships/drawing" Target="../drawings/drawing3.xml"/><Relationship Id="rId4" Type="http://schemas.openxmlformats.org/officeDocument/2006/relationships/hyperlink" Target="https://aw1.jp/web/php-select-%E9%81%B8%E6%8A%9E%E7%8A%B6%E6%85%8B%E3%82%92%E4%BF%9D%E6%8C%81%E3%81%99%E3%82%8B/"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workbookViewId="0">
      <selection activeCell="F1" sqref="F1"/>
    </sheetView>
  </sheetViews>
  <sheetFormatPr defaultRowHeight="18" x14ac:dyDescent="0.45"/>
  <sheetData>
    <row r="1" spans="1:16" x14ac:dyDescent="0.45">
      <c r="A1" t="s">
        <v>0</v>
      </c>
      <c r="C1" t="s">
        <v>178</v>
      </c>
      <c r="D1" t="s">
        <v>2</v>
      </c>
      <c r="E1" t="s">
        <v>3</v>
      </c>
      <c r="F1" t="s">
        <v>4</v>
      </c>
      <c r="G1" t="s">
        <v>5</v>
      </c>
      <c r="H1" t="s">
        <v>6</v>
      </c>
      <c r="I1" t="s">
        <v>7</v>
      </c>
      <c r="J1" t="s">
        <v>8</v>
      </c>
      <c r="K1" t="s">
        <v>9</v>
      </c>
      <c r="L1" t="s">
        <v>10</v>
      </c>
      <c r="M1" t="s">
        <v>11</v>
      </c>
      <c r="N1" t="s">
        <v>12</v>
      </c>
      <c r="O1" t="s">
        <v>13</v>
      </c>
      <c r="P1" t="s">
        <v>14</v>
      </c>
    </row>
    <row r="2" spans="1:16" x14ac:dyDescent="0.45">
      <c r="A2">
        <v>1</v>
      </c>
      <c r="C2" t="s">
        <v>15</v>
      </c>
      <c r="D2" t="s">
        <v>16</v>
      </c>
      <c r="E2">
        <v>3</v>
      </c>
      <c r="F2" t="s">
        <v>17</v>
      </c>
      <c r="G2" t="s">
        <v>18</v>
      </c>
      <c r="H2" t="s">
        <v>19</v>
      </c>
      <c r="I2" t="s">
        <v>20</v>
      </c>
      <c r="J2" t="s">
        <v>21</v>
      </c>
      <c r="K2" t="s">
        <v>22</v>
      </c>
      <c r="L2" t="s">
        <v>23</v>
      </c>
      <c r="M2" t="s">
        <v>24</v>
      </c>
      <c r="N2">
        <v>1000</v>
      </c>
      <c r="O2" s="1">
        <v>44731</v>
      </c>
      <c r="P2" s="2">
        <v>44731</v>
      </c>
    </row>
    <row r="3" spans="1:16" x14ac:dyDescent="0.45">
      <c r="A3">
        <v>2</v>
      </c>
      <c r="C3" t="s">
        <v>25</v>
      </c>
      <c r="D3" t="s">
        <v>26</v>
      </c>
      <c r="E3">
        <v>3</v>
      </c>
      <c r="F3" t="s">
        <v>17</v>
      </c>
      <c r="G3" t="s">
        <v>18</v>
      </c>
      <c r="H3" t="s">
        <v>27</v>
      </c>
      <c r="I3" t="s">
        <v>28</v>
      </c>
      <c r="J3" t="s">
        <v>21</v>
      </c>
      <c r="K3" t="s">
        <v>29</v>
      </c>
      <c r="L3" t="s">
        <v>30</v>
      </c>
      <c r="M3" t="s">
        <v>24</v>
      </c>
      <c r="N3">
        <v>1000</v>
      </c>
      <c r="O3" s="1">
        <v>44723</v>
      </c>
      <c r="P3" s="2">
        <v>44723</v>
      </c>
    </row>
    <row r="4" spans="1:16" x14ac:dyDescent="0.45">
      <c r="A4">
        <v>3</v>
      </c>
      <c r="C4" t="s">
        <v>31</v>
      </c>
      <c r="D4" t="s">
        <v>32</v>
      </c>
      <c r="E4">
        <v>5</v>
      </c>
      <c r="F4" t="s">
        <v>17</v>
      </c>
      <c r="G4" t="s">
        <v>18</v>
      </c>
      <c r="H4" t="s">
        <v>19</v>
      </c>
      <c r="I4" t="s">
        <v>33</v>
      </c>
      <c r="J4" t="s">
        <v>34</v>
      </c>
      <c r="K4" t="s">
        <v>35</v>
      </c>
      <c r="L4" t="s">
        <v>36</v>
      </c>
      <c r="M4" t="s">
        <v>24</v>
      </c>
      <c r="N4">
        <v>1000</v>
      </c>
      <c r="O4" s="1">
        <v>44705</v>
      </c>
      <c r="P4" s="2">
        <v>44705</v>
      </c>
    </row>
    <row r="5" spans="1:16" x14ac:dyDescent="0.45">
      <c r="A5">
        <v>4</v>
      </c>
      <c r="C5" t="s">
        <v>37</v>
      </c>
      <c r="D5" t="s">
        <v>38</v>
      </c>
      <c r="E5">
        <v>4</v>
      </c>
      <c r="F5" t="s">
        <v>17</v>
      </c>
      <c r="G5" t="s">
        <v>18</v>
      </c>
      <c r="H5" t="s">
        <v>19</v>
      </c>
      <c r="I5" t="s">
        <v>39</v>
      </c>
      <c r="J5" t="s">
        <v>40</v>
      </c>
      <c r="K5" t="s">
        <v>41</v>
      </c>
      <c r="L5" t="s">
        <v>42</v>
      </c>
      <c r="M5" t="s">
        <v>24</v>
      </c>
      <c r="N5">
        <v>1000</v>
      </c>
      <c r="O5" s="1">
        <v>44705</v>
      </c>
      <c r="P5" s="2">
        <v>44705</v>
      </c>
    </row>
    <row r="6" spans="1:16" x14ac:dyDescent="0.45">
      <c r="A6">
        <v>5</v>
      </c>
      <c r="C6" t="s">
        <v>43</v>
      </c>
      <c r="D6" t="s">
        <v>38</v>
      </c>
      <c r="E6">
        <v>2</v>
      </c>
      <c r="F6" t="s">
        <v>17</v>
      </c>
      <c r="G6" t="s">
        <v>18</v>
      </c>
      <c r="H6" t="s">
        <v>44</v>
      </c>
      <c r="I6" t="s">
        <v>33</v>
      </c>
      <c r="J6" t="s">
        <v>40</v>
      </c>
      <c r="K6" t="s">
        <v>41</v>
      </c>
      <c r="L6" t="s">
        <v>42</v>
      </c>
      <c r="M6" t="s">
        <v>24</v>
      </c>
      <c r="N6">
        <v>1000</v>
      </c>
      <c r="O6" s="1">
        <v>44705</v>
      </c>
      <c r="P6" s="2">
        <v>44705</v>
      </c>
    </row>
    <row r="7" spans="1:16" x14ac:dyDescent="0.45">
      <c r="A7">
        <v>6</v>
      </c>
      <c r="C7" t="s">
        <v>45</v>
      </c>
      <c r="D7" t="s">
        <v>46</v>
      </c>
      <c r="E7">
        <v>5</v>
      </c>
      <c r="F7" t="s">
        <v>17</v>
      </c>
      <c r="G7" t="s">
        <v>18</v>
      </c>
      <c r="H7" t="s">
        <v>19</v>
      </c>
      <c r="I7" t="s">
        <v>39</v>
      </c>
      <c r="J7" t="s">
        <v>47</v>
      </c>
      <c r="K7" t="s">
        <v>48</v>
      </c>
      <c r="L7" t="s">
        <v>49</v>
      </c>
      <c r="M7" t="s">
        <v>50</v>
      </c>
      <c r="N7">
        <v>1500</v>
      </c>
      <c r="O7" s="1">
        <v>44715</v>
      </c>
      <c r="P7" s="2">
        <v>44715</v>
      </c>
    </row>
    <row r="8" spans="1:16" x14ac:dyDescent="0.45">
      <c r="A8">
        <v>7</v>
      </c>
      <c r="C8" t="s">
        <v>51</v>
      </c>
      <c r="D8" t="s">
        <v>26</v>
      </c>
      <c r="E8">
        <v>5</v>
      </c>
      <c r="F8" t="s">
        <v>17</v>
      </c>
      <c r="G8" t="s">
        <v>18</v>
      </c>
      <c r="H8" t="s">
        <v>19</v>
      </c>
      <c r="I8" t="s">
        <v>33</v>
      </c>
      <c r="J8" t="s">
        <v>40</v>
      </c>
      <c r="K8" t="s">
        <v>29</v>
      </c>
      <c r="L8" t="s">
        <v>30</v>
      </c>
      <c r="M8" t="s">
        <v>50</v>
      </c>
      <c r="N8">
        <v>1500</v>
      </c>
      <c r="O8" s="1">
        <v>44728</v>
      </c>
      <c r="P8" s="2">
        <v>44728</v>
      </c>
    </row>
    <row r="9" spans="1:16" x14ac:dyDescent="0.45">
      <c r="A9">
        <v>8</v>
      </c>
      <c r="C9" t="s">
        <v>52</v>
      </c>
      <c r="D9" t="s">
        <v>26</v>
      </c>
      <c r="E9">
        <v>2</v>
      </c>
      <c r="F9" t="s">
        <v>17</v>
      </c>
      <c r="G9" t="s">
        <v>18</v>
      </c>
      <c r="H9" t="s">
        <v>27</v>
      </c>
      <c r="I9" t="s">
        <v>53</v>
      </c>
      <c r="J9" t="s">
        <v>21</v>
      </c>
      <c r="K9" t="s">
        <v>29</v>
      </c>
      <c r="L9" t="s">
        <v>30</v>
      </c>
      <c r="M9" t="s">
        <v>54</v>
      </c>
      <c r="N9">
        <v>2000</v>
      </c>
      <c r="O9" s="1">
        <v>44723</v>
      </c>
      <c r="P9" s="2">
        <v>44723</v>
      </c>
    </row>
    <row r="10" spans="1:16" x14ac:dyDescent="0.45">
      <c r="A10">
        <v>9</v>
      </c>
      <c r="C10" t="s">
        <v>55</v>
      </c>
      <c r="D10" t="s">
        <v>38</v>
      </c>
      <c r="E10">
        <v>3</v>
      </c>
      <c r="F10" t="s">
        <v>17</v>
      </c>
      <c r="G10" t="s">
        <v>18</v>
      </c>
      <c r="H10" t="s">
        <v>19</v>
      </c>
      <c r="I10" t="s">
        <v>33</v>
      </c>
      <c r="J10" t="s">
        <v>34</v>
      </c>
      <c r="K10" t="s">
        <v>41</v>
      </c>
      <c r="L10" t="s">
        <v>42</v>
      </c>
      <c r="M10" t="s">
        <v>54</v>
      </c>
      <c r="N10">
        <v>2000</v>
      </c>
      <c r="O10" s="1">
        <v>44705</v>
      </c>
      <c r="P10" s="2">
        <v>44705</v>
      </c>
    </row>
    <row r="11" spans="1:16" x14ac:dyDescent="0.45">
      <c r="A11">
        <v>10</v>
      </c>
      <c r="C11" t="s">
        <v>56</v>
      </c>
      <c r="D11" t="s">
        <v>46</v>
      </c>
      <c r="E11">
        <v>4</v>
      </c>
      <c r="F11" t="s">
        <v>17</v>
      </c>
      <c r="G11" t="s">
        <v>18</v>
      </c>
      <c r="H11" t="s">
        <v>44</v>
      </c>
      <c r="I11" t="s">
        <v>53</v>
      </c>
      <c r="J11" t="s">
        <v>57</v>
      </c>
      <c r="K11" t="s">
        <v>48</v>
      </c>
      <c r="L11" t="s">
        <v>49</v>
      </c>
      <c r="M11" t="s">
        <v>54</v>
      </c>
      <c r="N11">
        <v>2000</v>
      </c>
      <c r="O11" s="1">
        <v>44715</v>
      </c>
      <c r="P11" s="2">
        <v>44715</v>
      </c>
    </row>
    <row r="12" spans="1:16" x14ac:dyDescent="0.45">
      <c r="A12">
        <v>11</v>
      </c>
      <c r="C12" t="s">
        <v>58</v>
      </c>
      <c r="D12" t="s">
        <v>38</v>
      </c>
      <c r="E12">
        <v>7</v>
      </c>
      <c r="F12" t="s">
        <v>17</v>
      </c>
      <c r="G12" t="s">
        <v>18</v>
      </c>
      <c r="H12" t="s">
        <v>59</v>
      </c>
      <c r="I12" t="s">
        <v>39</v>
      </c>
      <c r="J12" t="s">
        <v>57</v>
      </c>
      <c r="K12" t="s">
        <v>41</v>
      </c>
      <c r="L12" t="s">
        <v>42</v>
      </c>
      <c r="M12" t="s">
        <v>54</v>
      </c>
      <c r="N12">
        <v>2000</v>
      </c>
      <c r="O12" s="1">
        <v>44715</v>
      </c>
      <c r="P12" s="2">
        <v>44715</v>
      </c>
    </row>
    <row r="13" spans="1:16" x14ac:dyDescent="0.45">
      <c r="A13">
        <v>12</v>
      </c>
      <c r="C13" t="s">
        <v>60</v>
      </c>
      <c r="D13" t="s">
        <v>32</v>
      </c>
      <c r="E13">
        <v>4</v>
      </c>
      <c r="F13" t="s">
        <v>17</v>
      </c>
      <c r="G13" t="s">
        <v>18</v>
      </c>
      <c r="H13" t="s">
        <v>44</v>
      </c>
      <c r="I13" t="s">
        <v>61</v>
      </c>
      <c r="J13" t="s">
        <v>34</v>
      </c>
      <c r="K13" t="s">
        <v>35</v>
      </c>
      <c r="L13" t="s">
        <v>36</v>
      </c>
      <c r="M13" t="s">
        <v>62</v>
      </c>
      <c r="N13">
        <v>3000</v>
      </c>
      <c r="O13" s="1">
        <v>44705</v>
      </c>
      <c r="P13" s="2">
        <v>44705</v>
      </c>
    </row>
    <row r="14" spans="1:16" x14ac:dyDescent="0.45">
      <c r="A14">
        <v>13</v>
      </c>
      <c r="C14" t="s">
        <v>63</v>
      </c>
      <c r="D14" t="s">
        <v>46</v>
      </c>
      <c r="E14">
        <v>3</v>
      </c>
      <c r="F14" t="s">
        <v>17</v>
      </c>
      <c r="G14" t="s">
        <v>18</v>
      </c>
      <c r="H14" t="s">
        <v>59</v>
      </c>
      <c r="I14" t="s">
        <v>64</v>
      </c>
      <c r="J14" t="s">
        <v>40</v>
      </c>
      <c r="K14" t="s">
        <v>48</v>
      </c>
      <c r="L14" t="s">
        <v>49</v>
      </c>
      <c r="M14" t="s">
        <v>62</v>
      </c>
      <c r="N14">
        <v>3000</v>
      </c>
      <c r="O14" s="1">
        <v>44715</v>
      </c>
      <c r="P14" s="2">
        <v>44715</v>
      </c>
    </row>
    <row r="15" spans="1:16" x14ac:dyDescent="0.45">
      <c r="A15">
        <v>14</v>
      </c>
      <c r="C15" t="s">
        <v>65</v>
      </c>
      <c r="D15" t="s">
        <v>38</v>
      </c>
      <c r="E15">
        <v>6</v>
      </c>
      <c r="F15" t="s">
        <v>17</v>
      </c>
      <c r="G15" t="s">
        <v>18</v>
      </c>
      <c r="H15" t="s">
        <v>44</v>
      </c>
      <c r="I15" t="s">
        <v>66</v>
      </c>
      <c r="J15" t="s">
        <v>40</v>
      </c>
      <c r="K15" t="s">
        <v>41</v>
      </c>
      <c r="L15" t="s">
        <v>42</v>
      </c>
      <c r="M15" t="s">
        <v>62</v>
      </c>
      <c r="N15">
        <v>3000</v>
      </c>
      <c r="O15" s="1">
        <v>44715</v>
      </c>
      <c r="P15" s="2">
        <v>44715</v>
      </c>
    </row>
    <row r="16" spans="1:16" x14ac:dyDescent="0.45">
      <c r="A16">
        <v>15</v>
      </c>
      <c r="C16" t="s">
        <v>67</v>
      </c>
      <c r="D16" t="s">
        <v>38</v>
      </c>
      <c r="E16">
        <v>1</v>
      </c>
      <c r="F16" t="s">
        <v>17</v>
      </c>
      <c r="G16" t="s">
        <v>18</v>
      </c>
      <c r="H16" t="s">
        <v>27</v>
      </c>
      <c r="I16" t="s">
        <v>53</v>
      </c>
      <c r="J16" t="s">
        <v>57</v>
      </c>
      <c r="K16" t="s">
        <v>41</v>
      </c>
      <c r="L16" t="s">
        <v>42</v>
      </c>
      <c r="M16" t="s">
        <v>62</v>
      </c>
      <c r="N16">
        <v>3000</v>
      </c>
      <c r="O16" s="1">
        <v>44705</v>
      </c>
      <c r="P16" s="2">
        <v>44705</v>
      </c>
    </row>
    <row r="17" spans="1:16" x14ac:dyDescent="0.45">
      <c r="A17">
        <v>16</v>
      </c>
      <c r="C17" t="s">
        <v>68</v>
      </c>
      <c r="D17" t="s">
        <v>32</v>
      </c>
      <c r="E17">
        <v>7</v>
      </c>
      <c r="F17" t="s">
        <v>17</v>
      </c>
      <c r="G17" t="s">
        <v>18</v>
      </c>
      <c r="H17" t="s">
        <v>19</v>
      </c>
      <c r="I17" t="s">
        <v>61</v>
      </c>
      <c r="J17" t="s">
        <v>57</v>
      </c>
      <c r="K17" t="s">
        <v>35</v>
      </c>
      <c r="L17" t="s">
        <v>36</v>
      </c>
      <c r="M17" t="s">
        <v>62</v>
      </c>
      <c r="N17">
        <v>3000</v>
      </c>
      <c r="O17" s="1">
        <v>44705</v>
      </c>
      <c r="P17" s="2">
        <v>44705</v>
      </c>
    </row>
    <row r="18" spans="1:16" x14ac:dyDescent="0.45">
      <c r="A18">
        <v>17</v>
      </c>
      <c r="C18" t="s">
        <v>69</v>
      </c>
      <c r="D18" t="s">
        <v>32</v>
      </c>
      <c r="E18">
        <v>2</v>
      </c>
      <c r="F18" t="s">
        <v>17</v>
      </c>
      <c r="G18" t="s">
        <v>18</v>
      </c>
      <c r="H18" t="s">
        <v>27</v>
      </c>
      <c r="I18" t="s">
        <v>28</v>
      </c>
      <c r="J18" t="s">
        <v>57</v>
      </c>
      <c r="K18" t="s">
        <v>35</v>
      </c>
      <c r="L18" t="s">
        <v>36</v>
      </c>
      <c r="M18" t="s">
        <v>62</v>
      </c>
      <c r="N18">
        <v>3000</v>
      </c>
      <c r="O18" s="1">
        <v>44705</v>
      </c>
      <c r="P18" s="2">
        <v>44705</v>
      </c>
    </row>
    <row r="19" spans="1:16" x14ac:dyDescent="0.45">
      <c r="A19">
        <v>18</v>
      </c>
      <c r="C19" t="s">
        <v>70</v>
      </c>
      <c r="D19" t="s">
        <v>16</v>
      </c>
      <c r="E19">
        <v>1</v>
      </c>
      <c r="F19" t="s">
        <v>17</v>
      </c>
      <c r="G19" t="s">
        <v>18</v>
      </c>
      <c r="H19" t="s">
        <v>59</v>
      </c>
      <c r="I19" t="s">
        <v>20</v>
      </c>
      <c r="J19" t="s">
        <v>71</v>
      </c>
      <c r="K19" t="s">
        <v>22</v>
      </c>
      <c r="L19" t="s">
        <v>23</v>
      </c>
      <c r="M19" t="s">
        <v>62</v>
      </c>
      <c r="N19">
        <v>3000</v>
      </c>
      <c r="O19" s="1">
        <v>44731</v>
      </c>
      <c r="P19" s="2">
        <v>44731</v>
      </c>
    </row>
    <row r="20" spans="1:16" x14ac:dyDescent="0.45">
      <c r="A20">
        <v>19</v>
      </c>
      <c r="C20" t="s">
        <v>72</v>
      </c>
      <c r="D20" t="s">
        <v>26</v>
      </c>
      <c r="E20">
        <v>4</v>
      </c>
      <c r="F20" t="s">
        <v>17</v>
      </c>
      <c r="G20" t="s">
        <v>18</v>
      </c>
      <c r="H20" t="s">
        <v>27</v>
      </c>
      <c r="I20" t="s">
        <v>20</v>
      </c>
      <c r="J20" t="s">
        <v>71</v>
      </c>
      <c r="K20" t="s">
        <v>29</v>
      </c>
      <c r="L20" t="s">
        <v>30</v>
      </c>
      <c r="M20" t="s">
        <v>62</v>
      </c>
      <c r="N20">
        <v>3000</v>
      </c>
      <c r="O20" s="1">
        <v>44727</v>
      </c>
      <c r="P20" s="2">
        <v>44727</v>
      </c>
    </row>
    <row r="21" spans="1:16" x14ac:dyDescent="0.45">
      <c r="A21">
        <v>20</v>
      </c>
      <c r="C21" t="s">
        <v>73</v>
      </c>
      <c r="D21" t="s">
        <v>46</v>
      </c>
      <c r="E21">
        <v>6</v>
      </c>
      <c r="F21" t="s">
        <v>17</v>
      </c>
      <c r="G21" t="s">
        <v>18</v>
      </c>
      <c r="H21" t="s">
        <v>27</v>
      </c>
      <c r="I21" t="s">
        <v>28</v>
      </c>
      <c r="J21" t="s">
        <v>71</v>
      </c>
      <c r="K21" t="s">
        <v>48</v>
      </c>
      <c r="L21" t="s">
        <v>49</v>
      </c>
      <c r="M21" t="s">
        <v>62</v>
      </c>
      <c r="N21">
        <v>3000</v>
      </c>
      <c r="O21" s="1">
        <v>44723</v>
      </c>
      <c r="P21" s="2">
        <v>44723</v>
      </c>
    </row>
    <row r="22" spans="1:16" x14ac:dyDescent="0.45">
      <c r="A22">
        <v>21</v>
      </c>
      <c r="C22" t="s">
        <v>74</v>
      </c>
      <c r="D22" t="s">
        <v>32</v>
      </c>
      <c r="E22">
        <v>3</v>
      </c>
      <c r="F22" t="s">
        <v>17</v>
      </c>
      <c r="G22" t="s">
        <v>18</v>
      </c>
      <c r="H22" t="s">
        <v>59</v>
      </c>
      <c r="I22" t="s">
        <v>28</v>
      </c>
      <c r="J22" t="s">
        <v>71</v>
      </c>
      <c r="K22" t="s">
        <v>35</v>
      </c>
      <c r="L22" t="s">
        <v>36</v>
      </c>
      <c r="M22" t="s">
        <v>62</v>
      </c>
      <c r="N22">
        <v>3000</v>
      </c>
      <c r="O22" s="1">
        <v>44705</v>
      </c>
      <c r="P22" s="2">
        <v>44705</v>
      </c>
    </row>
    <row r="23" spans="1:16" x14ac:dyDescent="0.45">
      <c r="A23">
        <v>22</v>
      </c>
      <c r="C23" t="s">
        <v>75</v>
      </c>
      <c r="D23" t="s">
        <v>46</v>
      </c>
      <c r="E23">
        <v>1</v>
      </c>
      <c r="F23" t="s">
        <v>17</v>
      </c>
      <c r="G23" t="s">
        <v>18</v>
      </c>
      <c r="H23" t="s">
        <v>19</v>
      </c>
      <c r="I23" t="s">
        <v>61</v>
      </c>
      <c r="J23" t="s">
        <v>47</v>
      </c>
      <c r="K23" t="s">
        <v>48</v>
      </c>
      <c r="L23" t="s">
        <v>49</v>
      </c>
      <c r="M23" t="s">
        <v>76</v>
      </c>
      <c r="N23">
        <v>5000</v>
      </c>
      <c r="O23" s="1">
        <v>44715</v>
      </c>
      <c r="P23" s="2">
        <v>44715</v>
      </c>
    </row>
    <row r="24" spans="1:16" x14ac:dyDescent="0.45">
      <c r="A24">
        <v>23</v>
      </c>
      <c r="C24" t="s">
        <v>77</v>
      </c>
      <c r="D24" t="s">
        <v>16</v>
      </c>
      <c r="E24">
        <v>2</v>
      </c>
      <c r="F24" t="s">
        <v>17</v>
      </c>
      <c r="G24" t="s">
        <v>18</v>
      </c>
      <c r="H24" t="s">
        <v>27</v>
      </c>
      <c r="I24" t="s">
        <v>61</v>
      </c>
      <c r="J24" t="s">
        <v>34</v>
      </c>
      <c r="K24" t="s">
        <v>22</v>
      </c>
      <c r="L24" t="s">
        <v>23</v>
      </c>
      <c r="M24" t="s">
        <v>76</v>
      </c>
      <c r="N24">
        <v>5000</v>
      </c>
      <c r="O24" s="1">
        <v>44731</v>
      </c>
      <c r="P24" s="2">
        <v>44731</v>
      </c>
    </row>
    <row r="25" spans="1:16" x14ac:dyDescent="0.45">
      <c r="A25">
        <v>24</v>
      </c>
      <c r="C25" t="s">
        <v>78</v>
      </c>
      <c r="D25" t="s">
        <v>38</v>
      </c>
      <c r="E25">
        <v>5</v>
      </c>
      <c r="F25" t="s">
        <v>17</v>
      </c>
      <c r="G25" t="s">
        <v>18</v>
      </c>
      <c r="H25" t="s">
        <v>19</v>
      </c>
      <c r="I25" t="s">
        <v>66</v>
      </c>
      <c r="J25" t="s">
        <v>79</v>
      </c>
      <c r="K25" t="s">
        <v>41</v>
      </c>
      <c r="L25" t="s">
        <v>42</v>
      </c>
      <c r="M25" t="s">
        <v>76</v>
      </c>
      <c r="N25">
        <v>5000</v>
      </c>
      <c r="O25" s="1">
        <v>44715</v>
      </c>
      <c r="P25" s="2">
        <v>44715</v>
      </c>
    </row>
    <row r="26" spans="1:16" x14ac:dyDescent="0.45">
      <c r="A26">
        <v>25</v>
      </c>
      <c r="C26" t="s">
        <v>80</v>
      </c>
      <c r="D26" t="s">
        <v>32</v>
      </c>
      <c r="E26">
        <v>1</v>
      </c>
      <c r="F26" t="s">
        <v>17</v>
      </c>
      <c r="G26" t="s">
        <v>18</v>
      </c>
      <c r="H26" t="s">
        <v>44</v>
      </c>
      <c r="I26" t="s">
        <v>28</v>
      </c>
      <c r="J26" t="s">
        <v>40</v>
      </c>
      <c r="K26" t="s">
        <v>35</v>
      </c>
      <c r="L26" t="s">
        <v>36</v>
      </c>
      <c r="M26" t="s">
        <v>76</v>
      </c>
      <c r="N26">
        <v>5000</v>
      </c>
      <c r="O26" s="1">
        <v>44704</v>
      </c>
      <c r="P26" s="2">
        <v>44704</v>
      </c>
    </row>
    <row r="27" spans="1:16" x14ac:dyDescent="0.45">
      <c r="A27">
        <v>26</v>
      </c>
      <c r="C27" t="s">
        <v>81</v>
      </c>
      <c r="D27" t="s">
        <v>46</v>
      </c>
      <c r="E27">
        <v>2</v>
      </c>
      <c r="F27" t="s">
        <v>17</v>
      </c>
      <c r="G27" t="s">
        <v>18</v>
      </c>
      <c r="H27" t="s">
        <v>27</v>
      </c>
      <c r="I27" t="s">
        <v>28</v>
      </c>
      <c r="J27" t="s">
        <v>34</v>
      </c>
      <c r="K27" t="s">
        <v>48</v>
      </c>
      <c r="L27" t="s">
        <v>49</v>
      </c>
      <c r="M27" t="s">
        <v>82</v>
      </c>
      <c r="N27">
        <v>10000</v>
      </c>
      <c r="O27" s="1">
        <v>44715</v>
      </c>
      <c r="P27" s="2">
        <v>44715</v>
      </c>
    </row>
    <row r="28" spans="1:16" x14ac:dyDescent="0.45">
      <c r="A28">
        <v>27</v>
      </c>
      <c r="C28" t="s">
        <v>83</v>
      </c>
      <c r="D28" t="s">
        <v>32</v>
      </c>
      <c r="E28">
        <v>6</v>
      </c>
      <c r="F28" t="s">
        <v>17</v>
      </c>
      <c r="G28" t="s">
        <v>18</v>
      </c>
      <c r="H28" t="s">
        <v>19</v>
      </c>
      <c r="I28" t="s">
        <v>53</v>
      </c>
      <c r="J28" t="s">
        <v>34</v>
      </c>
      <c r="K28" t="s">
        <v>35</v>
      </c>
      <c r="L28" t="s">
        <v>36</v>
      </c>
      <c r="M28" t="s">
        <v>82</v>
      </c>
      <c r="N28">
        <v>10000</v>
      </c>
      <c r="O28" s="1">
        <v>44705</v>
      </c>
      <c r="P28" s="2">
        <v>44705</v>
      </c>
    </row>
    <row r="29" spans="1:16" x14ac:dyDescent="0.45">
      <c r="A29">
        <v>28</v>
      </c>
      <c r="C29" t="s">
        <v>84</v>
      </c>
      <c r="D29" t="s">
        <v>26</v>
      </c>
      <c r="E29">
        <v>1</v>
      </c>
      <c r="F29" t="s">
        <v>17</v>
      </c>
      <c r="G29" t="s">
        <v>18</v>
      </c>
      <c r="H29" t="s">
        <v>59</v>
      </c>
      <c r="I29" t="s">
        <v>33</v>
      </c>
      <c r="J29" t="s">
        <v>40</v>
      </c>
      <c r="K29" t="s">
        <v>29</v>
      </c>
      <c r="L29" t="s">
        <v>30</v>
      </c>
      <c r="M29" t="s">
        <v>82</v>
      </c>
      <c r="N29">
        <v>10000</v>
      </c>
      <c r="O29" s="1">
        <v>44723</v>
      </c>
      <c r="P29" s="2">
        <v>44723</v>
      </c>
    </row>
    <row r="30" spans="1:16" x14ac:dyDescent="0.45">
      <c r="A30">
        <v>29</v>
      </c>
      <c r="C30" t="s">
        <v>85</v>
      </c>
      <c r="D30" t="s">
        <v>86</v>
      </c>
      <c r="E30">
        <v>1</v>
      </c>
      <c r="F30" t="s">
        <v>87</v>
      </c>
      <c r="G30" t="s">
        <v>88</v>
      </c>
      <c r="H30" t="s">
        <v>19</v>
      </c>
      <c r="I30" t="s">
        <v>61</v>
      </c>
      <c r="J30" t="s">
        <v>21</v>
      </c>
      <c r="K30" t="s">
        <v>29</v>
      </c>
      <c r="L30" t="s">
        <v>30</v>
      </c>
      <c r="M30" t="s">
        <v>24</v>
      </c>
      <c r="N30">
        <v>1000</v>
      </c>
      <c r="O30" s="1">
        <v>44684</v>
      </c>
      <c r="P30" s="2">
        <v>44684</v>
      </c>
    </row>
    <row r="31" spans="1:16" x14ac:dyDescent="0.45">
      <c r="A31">
        <v>30</v>
      </c>
      <c r="C31" t="s">
        <v>89</v>
      </c>
      <c r="D31" t="s">
        <v>90</v>
      </c>
      <c r="E31">
        <v>7</v>
      </c>
      <c r="F31" t="s">
        <v>87</v>
      </c>
      <c r="G31" t="s">
        <v>88</v>
      </c>
      <c r="H31" t="s">
        <v>59</v>
      </c>
      <c r="I31" t="s">
        <v>64</v>
      </c>
      <c r="J31" t="s">
        <v>71</v>
      </c>
      <c r="K31" t="s">
        <v>22</v>
      </c>
      <c r="L31" t="s">
        <v>23</v>
      </c>
      <c r="M31" t="s">
        <v>24</v>
      </c>
      <c r="N31">
        <v>1000</v>
      </c>
      <c r="O31" s="1">
        <v>44684</v>
      </c>
      <c r="P31" s="2">
        <v>44684</v>
      </c>
    </row>
    <row r="32" spans="1:16" x14ac:dyDescent="0.45">
      <c r="A32">
        <v>31</v>
      </c>
      <c r="C32" t="s">
        <v>91</v>
      </c>
      <c r="D32" t="s">
        <v>92</v>
      </c>
      <c r="E32">
        <v>2</v>
      </c>
      <c r="F32" t="s">
        <v>87</v>
      </c>
      <c r="G32" t="s">
        <v>88</v>
      </c>
      <c r="H32" t="s">
        <v>27</v>
      </c>
      <c r="I32" t="s">
        <v>53</v>
      </c>
      <c r="J32" t="s">
        <v>71</v>
      </c>
      <c r="K32" t="s">
        <v>48</v>
      </c>
      <c r="L32" t="s">
        <v>49</v>
      </c>
      <c r="M32" t="s">
        <v>24</v>
      </c>
      <c r="N32">
        <v>1000</v>
      </c>
      <c r="O32" s="1">
        <v>44683</v>
      </c>
      <c r="P32" s="2">
        <v>44683</v>
      </c>
    </row>
    <row r="33" spans="1:16" x14ac:dyDescent="0.45">
      <c r="A33">
        <v>32</v>
      </c>
      <c r="C33" t="s">
        <v>93</v>
      </c>
      <c r="D33" t="s">
        <v>92</v>
      </c>
      <c r="E33">
        <v>9</v>
      </c>
      <c r="F33" t="s">
        <v>87</v>
      </c>
      <c r="G33" t="s">
        <v>88</v>
      </c>
      <c r="H33" t="s">
        <v>59</v>
      </c>
      <c r="I33" t="s">
        <v>66</v>
      </c>
      <c r="J33" t="s">
        <v>21</v>
      </c>
      <c r="K33" t="s">
        <v>48</v>
      </c>
      <c r="L33" t="s">
        <v>49</v>
      </c>
      <c r="M33" t="s">
        <v>54</v>
      </c>
      <c r="N33">
        <v>2000</v>
      </c>
      <c r="O33" s="1">
        <v>44683</v>
      </c>
      <c r="P33" s="2">
        <v>44683</v>
      </c>
    </row>
    <row r="34" spans="1:16" x14ac:dyDescent="0.45">
      <c r="A34">
        <v>33</v>
      </c>
      <c r="C34" t="s">
        <v>94</v>
      </c>
      <c r="D34" t="s">
        <v>92</v>
      </c>
      <c r="E34">
        <v>5</v>
      </c>
      <c r="F34" t="s">
        <v>87</v>
      </c>
      <c r="G34" t="s">
        <v>88</v>
      </c>
      <c r="H34" t="s">
        <v>19</v>
      </c>
      <c r="I34" t="s">
        <v>20</v>
      </c>
      <c r="J34" t="s">
        <v>57</v>
      </c>
      <c r="K34" t="s">
        <v>48</v>
      </c>
      <c r="L34" t="s">
        <v>49</v>
      </c>
      <c r="M34" t="s">
        <v>54</v>
      </c>
      <c r="N34">
        <v>2000</v>
      </c>
      <c r="O34" s="1">
        <v>44683</v>
      </c>
      <c r="P34" s="2">
        <v>44683</v>
      </c>
    </row>
    <row r="35" spans="1:16" x14ac:dyDescent="0.45">
      <c r="A35">
        <v>34</v>
      </c>
      <c r="C35" t="s">
        <v>95</v>
      </c>
      <c r="D35" t="s">
        <v>92</v>
      </c>
      <c r="E35">
        <v>4</v>
      </c>
      <c r="F35" t="s">
        <v>87</v>
      </c>
      <c r="G35" t="s">
        <v>88</v>
      </c>
      <c r="H35" t="s">
        <v>19</v>
      </c>
      <c r="I35" t="s">
        <v>20</v>
      </c>
      <c r="J35" t="s">
        <v>57</v>
      </c>
      <c r="K35" t="s">
        <v>48</v>
      </c>
      <c r="L35" t="s">
        <v>49</v>
      </c>
      <c r="M35" t="s">
        <v>54</v>
      </c>
      <c r="N35">
        <v>2000</v>
      </c>
      <c r="O35" s="1">
        <v>44683</v>
      </c>
      <c r="P35" s="2">
        <v>44683</v>
      </c>
    </row>
    <row r="36" spans="1:16" x14ac:dyDescent="0.45">
      <c r="A36">
        <v>35</v>
      </c>
      <c r="C36" t="s">
        <v>96</v>
      </c>
      <c r="D36" t="s">
        <v>97</v>
      </c>
      <c r="E36">
        <v>2</v>
      </c>
      <c r="F36" t="s">
        <v>87</v>
      </c>
      <c r="G36" t="s">
        <v>88</v>
      </c>
      <c r="H36" t="s">
        <v>44</v>
      </c>
      <c r="I36" t="s">
        <v>66</v>
      </c>
      <c r="J36" t="s">
        <v>47</v>
      </c>
      <c r="K36" t="s">
        <v>35</v>
      </c>
      <c r="L36" t="s">
        <v>36</v>
      </c>
      <c r="M36" t="s">
        <v>62</v>
      </c>
      <c r="N36">
        <v>3000</v>
      </c>
      <c r="O36" s="1">
        <v>44682</v>
      </c>
      <c r="P36" s="2">
        <v>44682</v>
      </c>
    </row>
    <row r="37" spans="1:16" x14ac:dyDescent="0.45">
      <c r="A37">
        <v>36</v>
      </c>
      <c r="C37" t="s">
        <v>98</v>
      </c>
      <c r="D37" t="s">
        <v>92</v>
      </c>
      <c r="E37">
        <v>7</v>
      </c>
      <c r="F37" t="s">
        <v>87</v>
      </c>
      <c r="G37" t="s">
        <v>88</v>
      </c>
      <c r="H37" t="s">
        <v>19</v>
      </c>
      <c r="I37" t="s">
        <v>61</v>
      </c>
      <c r="J37" t="s">
        <v>21</v>
      </c>
      <c r="K37" t="s">
        <v>48</v>
      </c>
      <c r="L37" t="s">
        <v>49</v>
      </c>
      <c r="M37" t="s">
        <v>62</v>
      </c>
      <c r="N37">
        <v>3000</v>
      </c>
      <c r="O37" s="1">
        <v>44683</v>
      </c>
      <c r="P37" s="2">
        <v>44683</v>
      </c>
    </row>
    <row r="38" spans="1:16" x14ac:dyDescent="0.45">
      <c r="A38">
        <v>37</v>
      </c>
      <c r="C38" t="s">
        <v>99</v>
      </c>
      <c r="D38" t="s">
        <v>97</v>
      </c>
      <c r="E38">
        <v>4</v>
      </c>
      <c r="F38" t="s">
        <v>87</v>
      </c>
      <c r="G38" t="s">
        <v>88</v>
      </c>
      <c r="H38" t="s">
        <v>27</v>
      </c>
      <c r="I38" t="s">
        <v>53</v>
      </c>
      <c r="J38" t="s">
        <v>21</v>
      </c>
      <c r="K38" t="s">
        <v>35</v>
      </c>
      <c r="L38" t="s">
        <v>36</v>
      </c>
      <c r="M38" t="s">
        <v>62</v>
      </c>
      <c r="N38">
        <v>3000</v>
      </c>
      <c r="O38" s="1">
        <v>44682</v>
      </c>
      <c r="P38" s="2">
        <v>44682</v>
      </c>
    </row>
    <row r="39" spans="1:16" x14ac:dyDescent="0.45">
      <c r="A39">
        <v>38</v>
      </c>
      <c r="C39" t="s">
        <v>100</v>
      </c>
      <c r="D39" t="s">
        <v>90</v>
      </c>
      <c r="E39">
        <v>1</v>
      </c>
      <c r="F39" t="s">
        <v>87</v>
      </c>
      <c r="G39" t="s">
        <v>88</v>
      </c>
      <c r="H39" t="s">
        <v>19</v>
      </c>
      <c r="I39" t="s">
        <v>53</v>
      </c>
      <c r="J39" t="s">
        <v>34</v>
      </c>
      <c r="K39" t="s">
        <v>22</v>
      </c>
      <c r="L39" t="s">
        <v>23</v>
      </c>
      <c r="M39" t="s">
        <v>62</v>
      </c>
      <c r="N39">
        <v>3000</v>
      </c>
      <c r="O39" s="1">
        <v>44684</v>
      </c>
      <c r="P39" s="2">
        <v>44684</v>
      </c>
    </row>
    <row r="40" spans="1:16" x14ac:dyDescent="0.45">
      <c r="A40">
        <v>39</v>
      </c>
      <c r="C40" t="s">
        <v>101</v>
      </c>
      <c r="D40" t="s">
        <v>102</v>
      </c>
      <c r="E40">
        <v>1</v>
      </c>
      <c r="F40" t="s">
        <v>87</v>
      </c>
      <c r="G40" t="s">
        <v>88</v>
      </c>
      <c r="H40" t="s">
        <v>27</v>
      </c>
      <c r="I40" t="s">
        <v>33</v>
      </c>
      <c r="J40" t="s">
        <v>40</v>
      </c>
      <c r="K40" t="s">
        <v>41</v>
      </c>
      <c r="L40" t="s">
        <v>42</v>
      </c>
      <c r="M40" t="s">
        <v>62</v>
      </c>
      <c r="N40">
        <v>3000</v>
      </c>
      <c r="O40" s="1">
        <v>44682</v>
      </c>
      <c r="P40" s="2">
        <v>44682</v>
      </c>
    </row>
    <row r="41" spans="1:16" x14ac:dyDescent="0.45">
      <c r="A41">
        <v>40</v>
      </c>
      <c r="C41" t="s">
        <v>103</v>
      </c>
      <c r="D41" t="s">
        <v>90</v>
      </c>
      <c r="E41">
        <v>6</v>
      </c>
      <c r="F41" t="s">
        <v>87</v>
      </c>
      <c r="G41" t="s">
        <v>88</v>
      </c>
      <c r="H41" t="s">
        <v>44</v>
      </c>
      <c r="I41" t="s">
        <v>64</v>
      </c>
      <c r="J41" t="s">
        <v>47</v>
      </c>
      <c r="K41" t="s">
        <v>22</v>
      </c>
      <c r="L41" t="s">
        <v>23</v>
      </c>
      <c r="M41" t="s">
        <v>76</v>
      </c>
      <c r="N41">
        <v>5000</v>
      </c>
      <c r="O41" s="1">
        <v>44684</v>
      </c>
      <c r="P41" s="2">
        <v>44684</v>
      </c>
    </row>
    <row r="42" spans="1:16" x14ac:dyDescent="0.45">
      <c r="A42">
        <v>41</v>
      </c>
      <c r="C42" t="s">
        <v>104</v>
      </c>
      <c r="D42" t="s">
        <v>92</v>
      </c>
      <c r="E42">
        <v>8</v>
      </c>
      <c r="F42" t="s">
        <v>87</v>
      </c>
      <c r="G42" t="s">
        <v>88</v>
      </c>
      <c r="H42" t="s">
        <v>44</v>
      </c>
      <c r="I42" t="s">
        <v>20</v>
      </c>
      <c r="J42" t="s">
        <v>34</v>
      </c>
      <c r="K42" t="s">
        <v>48</v>
      </c>
      <c r="L42" t="s">
        <v>49</v>
      </c>
      <c r="M42" t="s">
        <v>76</v>
      </c>
      <c r="N42">
        <v>5000</v>
      </c>
      <c r="O42" s="1">
        <v>44683</v>
      </c>
      <c r="P42" s="2">
        <v>44683</v>
      </c>
    </row>
    <row r="43" spans="1:16" x14ac:dyDescent="0.45">
      <c r="A43">
        <v>42</v>
      </c>
      <c r="C43" t="s">
        <v>105</v>
      </c>
      <c r="D43" t="s">
        <v>92</v>
      </c>
      <c r="E43">
        <v>6</v>
      </c>
      <c r="F43" t="s">
        <v>87</v>
      </c>
      <c r="G43" t="s">
        <v>88</v>
      </c>
      <c r="H43" t="s">
        <v>19</v>
      </c>
      <c r="I43" t="s">
        <v>28</v>
      </c>
      <c r="J43" t="s">
        <v>40</v>
      </c>
      <c r="K43" t="s">
        <v>48</v>
      </c>
      <c r="L43" t="s">
        <v>49</v>
      </c>
      <c r="M43" t="s">
        <v>76</v>
      </c>
      <c r="N43">
        <v>5000</v>
      </c>
      <c r="O43" s="1">
        <v>44683</v>
      </c>
      <c r="P43" s="2">
        <v>44683</v>
      </c>
    </row>
    <row r="44" spans="1:16" x14ac:dyDescent="0.45">
      <c r="A44">
        <v>43</v>
      </c>
      <c r="C44" t="s">
        <v>106</v>
      </c>
      <c r="D44" t="s">
        <v>90</v>
      </c>
      <c r="E44">
        <v>3</v>
      </c>
      <c r="F44" t="s">
        <v>87</v>
      </c>
      <c r="G44" t="s">
        <v>88</v>
      </c>
      <c r="H44" t="s">
        <v>44</v>
      </c>
      <c r="I44" t="s">
        <v>33</v>
      </c>
      <c r="J44" t="s">
        <v>71</v>
      </c>
      <c r="K44" t="s">
        <v>22</v>
      </c>
      <c r="L44" t="s">
        <v>23</v>
      </c>
      <c r="M44" t="s">
        <v>76</v>
      </c>
      <c r="N44">
        <v>5000</v>
      </c>
      <c r="O44" s="1">
        <v>44684</v>
      </c>
      <c r="P44" s="2">
        <v>44684</v>
      </c>
    </row>
    <row r="45" spans="1:16" x14ac:dyDescent="0.45">
      <c r="A45">
        <v>44</v>
      </c>
      <c r="C45" t="s">
        <v>107</v>
      </c>
      <c r="D45" t="s">
        <v>90</v>
      </c>
      <c r="E45">
        <v>4</v>
      </c>
      <c r="F45" t="s">
        <v>87</v>
      </c>
      <c r="G45" t="s">
        <v>88</v>
      </c>
      <c r="H45" t="s">
        <v>44</v>
      </c>
      <c r="I45" t="s">
        <v>53</v>
      </c>
      <c r="J45" t="s">
        <v>21</v>
      </c>
      <c r="K45" t="s">
        <v>22</v>
      </c>
      <c r="L45" t="s">
        <v>23</v>
      </c>
      <c r="M45" t="s">
        <v>82</v>
      </c>
      <c r="N45">
        <v>10000</v>
      </c>
      <c r="O45" s="1">
        <v>44684</v>
      </c>
      <c r="P45" s="2">
        <v>44684</v>
      </c>
    </row>
    <row r="46" spans="1:16" x14ac:dyDescent="0.45">
      <c r="A46">
        <v>45</v>
      </c>
      <c r="C46" t="s">
        <v>108</v>
      </c>
      <c r="D46" t="s">
        <v>92</v>
      </c>
      <c r="E46">
        <v>1</v>
      </c>
      <c r="F46" t="s">
        <v>87</v>
      </c>
      <c r="G46" t="s">
        <v>88</v>
      </c>
      <c r="H46" t="s">
        <v>59</v>
      </c>
      <c r="I46" t="s">
        <v>33</v>
      </c>
      <c r="J46" t="s">
        <v>21</v>
      </c>
      <c r="K46" t="s">
        <v>48</v>
      </c>
      <c r="L46" t="s">
        <v>49</v>
      </c>
      <c r="M46" t="s">
        <v>82</v>
      </c>
      <c r="N46">
        <v>10000</v>
      </c>
      <c r="O46" s="1">
        <v>44682</v>
      </c>
      <c r="P46" s="2">
        <v>44682</v>
      </c>
    </row>
    <row r="47" spans="1:16" x14ac:dyDescent="0.45">
      <c r="A47">
        <v>46</v>
      </c>
      <c r="C47" t="s">
        <v>109</v>
      </c>
      <c r="D47" t="s">
        <v>97</v>
      </c>
      <c r="E47">
        <v>3</v>
      </c>
      <c r="F47" t="s">
        <v>87</v>
      </c>
      <c r="G47" t="s">
        <v>88</v>
      </c>
      <c r="H47" t="s">
        <v>59</v>
      </c>
      <c r="I47" t="s">
        <v>20</v>
      </c>
      <c r="J47" t="s">
        <v>21</v>
      </c>
      <c r="K47" t="s">
        <v>35</v>
      </c>
      <c r="L47" t="s">
        <v>36</v>
      </c>
      <c r="M47" t="s">
        <v>82</v>
      </c>
      <c r="N47">
        <v>10000</v>
      </c>
      <c r="O47" s="1">
        <v>44682</v>
      </c>
      <c r="P47" s="2">
        <v>44682</v>
      </c>
    </row>
    <row r="48" spans="1:16" x14ac:dyDescent="0.45">
      <c r="A48">
        <v>47</v>
      </c>
      <c r="C48" t="s">
        <v>110</v>
      </c>
      <c r="D48" t="s">
        <v>97</v>
      </c>
      <c r="E48">
        <v>1</v>
      </c>
      <c r="F48" t="s">
        <v>87</v>
      </c>
      <c r="G48" t="s">
        <v>88</v>
      </c>
      <c r="H48" t="s">
        <v>44</v>
      </c>
      <c r="I48" t="s">
        <v>53</v>
      </c>
      <c r="J48" t="s">
        <v>21</v>
      </c>
      <c r="K48" t="s">
        <v>35</v>
      </c>
      <c r="L48" t="s">
        <v>36</v>
      </c>
      <c r="M48" t="s">
        <v>82</v>
      </c>
      <c r="N48">
        <v>10000</v>
      </c>
      <c r="O48" s="1">
        <v>44682</v>
      </c>
      <c r="P48" s="2">
        <v>44682</v>
      </c>
    </row>
    <row r="49" spans="1:16" x14ac:dyDescent="0.45">
      <c r="A49">
        <v>48</v>
      </c>
      <c r="C49" t="s">
        <v>111</v>
      </c>
      <c r="D49" t="s">
        <v>90</v>
      </c>
      <c r="E49">
        <v>5</v>
      </c>
      <c r="F49" t="s">
        <v>87</v>
      </c>
      <c r="G49" t="s">
        <v>88</v>
      </c>
      <c r="H49" t="s">
        <v>59</v>
      </c>
      <c r="I49" t="s">
        <v>61</v>
      </c>
      <c r="J49" t="s">
        <v>79</v>
      </c>
      <c r="K49" t="s">
        <v>22</v>
      </c>
      <c r="L49" t="s">
        <v>23</v>
      </c>
      <c r="M49" t="s">
        <v>82</v>
      </c>
      <c r="N49">
        <v>10000</v>
      </c>
      <c r="O49" s="1">
        <v>44684</v>
      </c>
      <c r="P49" s="2">
        <v>44684</v>
      </c>
    </row>
    <row r="50" spans="1:16" x14ac:dyDescent="0.45">
      <c r="A50">
        <v>49</v>
      </c>
      <c r="C50" t="s">
        <v>112</v>
      </c>
      <c r="D50" t="s">
        <v>92</v>
      </c>
      <c r="E50">
        <v>3</v>
      </c>
      <c r="F50" t="s">
        <v>87</v>
      </c>
      <c r="G50" t="s">
        <v>88</v>
      </c>
      <c r="H50" t="s">
        <v>27</v>
      </c>
      <c r="I50" t="s">
        <v>53</v>
      </c>
      <c r="J50" t="s">
        <v>40</v>
      </c>
      <c r="K50" t="s">
        <v>48</v>
      </c>
      <c r="L50" t="s">
        <v>49</v>
      </c>
      <c r="M50" t="s">
        <v>82</v>
      </c>
      <c r="N50">
        <v>10000</v>
      </c>
      <c r="O50" s="1">
        <v>44683</v>
      </c>
      <c r="P50" s="2">
        <v>44683</v>
      </c>
    </row>
    <row r="51" spans="1:16" x14ac:dyDescent="0.45">
      <c r="A51">
        <v>50</v>
      </c>
      <c r="C51" t="s">
        <v>113</v>
      </c>
      <c r="D51" t="s">
        <v>90</v>
      </c>
      <c r="E51">
        <v>2</v>
      </c>
      <c r="F51" t="s">
        <v>87</v>
      </c>
      <c r="G51" t="s">
        <v>88</v>
      </c>
      <c r="H51" t="s">
        <v>19</v>
      </c>
      <c r="I51" t="s">
        <v>20</v>
      </c>
      <c r="J51" t="s">
        <v>57</v>
      </c>
      <c r="K51" t="s">
        <v>22</v>
      </c>
      <c r="L51" t="s">
        <v>23</v>
      </c>
      <c r="M51" t="s">
        <v>82</v>
      </c>
      <c r="N51">
        <v>10000</v>
      </c>
      <c r="O51" s="1">
        <v>44684</v>
      </c>
      <c r="P51" s="2">
        <v>44684</v>
      </c>
    </row>
    <row r="52" spans="1:16" x14ac:dyDescent="0.45">
      <c r="A52">
        <v>51</v>
      </c>
      <c r="C52" t="s">
        <v>114</v>
      </c>
      <c r="D52" t="s">
        <v>92</v>
      </c>
      <c r="E52">
        <v>10</v>
      </c>
      <c r="F52" t="s">
        <v>87</v>
      </c>
      <c r="G52" t="s">
        <v>88</v>
      </c>
      <c r="H52" t="s">
        <v>44</v>
      </c>
      <c r="I52" t="s">
        <v>28</v>
      </c>
      <c r="J52" t="s">
        <v>57</v>
      </c>
      <c r="K52" t="s">
        <v>48</v>
      </c>
      <c r="L52" t="s">
        <v>49</v>
      </c>
      <c r="M52" t="s">
        <v>82</v>
      </c>
      <c r="N52">
        <v>10000</v>
      </c>
      <c r="O52" s="1">
        <v>44684</v>
      </c>
      <c r="P52" s="2">
        <v>44684</v>
      </c>
    </row>
    <row r="53" spans="1:16" x14ac:dyDescent="0.45">
      <c r="A53">
        <v>52</v>
      </c>
      <c r="C53" t="s">
        <v>115</v>
      </c>
      <c r="D53" t="s">
        <v>116</v>
      </c>
      <c r="E53">
        <v>4</v>
      </c>
      <c r="F53" t="s">
        <v>117</v>
      </c>
      <c r="G53" t="s">
        <v>118</v>
      </c>
      <c r="H53" t="s">
        <v>27</v>
      </c>
      <c r="I53" t="s">
        <v>64</v>
      </c>
      <c r="J53" t="s">
        <v>47</v>
      </c>
      <c r="K53" t="s">
        <v>22</v>
      </c>
      <c r="L53" t="s">
        <v>23</v>
      </c>
      <c r="M53" t="s">
        <v>24</v>
      </c>
      <c r="N53">
        <v>1000</v>
      </c>
      <c r="O53" s="1">
        <v>44691</v>
      </c>
      <c r="P53" s="2">
        <v>44691</v>
      </c>
    </row>
    <row r="54" spans="1:16" x14ac:dyDescent="0.45">
      <c r="A54">
        <v>53</v>
      </c>
      <c r="C54" t="s">
        <v>119</v>
      </c>
      <c r="D54" t="s">
        <v>120</v>
      </c>
      <c r="E54">
        <v>5</v>
      </c>
      <c r="F54" t="s">
        <v>117</v>
      </c>
      <c r="G54" t="s">
        <v>118</v>
      </c>
      <c r="H54" t="s">
        <v>44</v>
      </c>
      <c r="I54" t="s">
        <v>20</v>
      </c>
      <c r="J54" t="s">
        <v>71</v>
      </c>
      <c r="K54" t="s">
        <v>29</v>
      </c>
      <c r="L54" t="s">
        <v>30</v>
      </c>
      <c r="M54" t="s">
        <v>24</v>
      </c>
      <c r="N54">
        <v>1000</v>
      </c>
      <c r="O54" s="1">
        <v>44691</v>
      </c>
      <c r="P54" s="2">
        <v>44691</v>
      </c>
    </row>
    <row r="55" spans="1:16" x14ac:dyDescent="0.45">
      <c r="A55">
        <v>54</v>
      </c>
      <c r="C55" t="s">
        <v>121</v>
      </c>
      <c r="D55" t="s">
        <v>120</v>
      </c>
      <c r="E55">
        <v>2</v>
      </c>
      <c r="F55" t="s">
        <v>117</v>
      </c>
      <c r="G55" t="s">
        <v>118</v>
      </c>
      <c r="H55" t="s">
        <v>27</v>
      </c>
      <c r="I55" t="s">
        <v>61</v>
      </c>
      <c r="J55" t="s">
        <v>71</v>
      </c>
      <c r="K55" t="s">
        <v>29</v>
      </c>
      <c r="L55" t="s">
        <v>30</v>
      </c>
      <c r="M55" t="s">
        <v>24</v>
      </c>
      <c r="N55">
        <v>1000</v>
      </c>
      <c r="O55" s="1">
        <v>44686</v>
      </c>
      <c r="P55" s="2">
        <v>44686</v>
      </c>
    </row>
    <row r="56" spans="1:16" x14ac:dyDescent="0.45">
      <c r="A56">
        <v>55</v>
      </c>
      <c r="C56" t="s">
        <v>122</v>
      </c>
      <c r="D56" t="s">
        <v>123</v>
      </c>
      <c r="E56">
        <v>1</v>
      </c>
      <c r="F56" t="s">
        <v>117</v>
      </c>
      <c r="G56" t="s">
        <v>118</v>
      </c>
      <c r="H56" t="s">
        <v>44</v>
      </c>
      <c r="I56" t="s">
        <v>61</v>
      </c>
      <c r="J56" t="s">
        <v>71</v>
      </c>
      <c r="K56" t="s">
        <v>35</v>
      </c>
      <c r="L56" t="s">
        <v>36</v>
      </c>
      <c r="M56" t="s">
        <v>24</v>
      </c>
      <c r="N56">
        <v>1000</v>
      </c>
      <c r="O56" s="1">
        <v>44684</v>
      </c>
      <c r="P56" s="2">
        <v>44684</v>
      </c>
    </row>
    <row r="57" spans="1:16" x14ac:dyDescent="0.45">
      <c r="A57">
        <v>56</v>
      </c>
      <c r="C57" t="s">
        <v>124</v>
      </c>
      <c r="D57" t="s">
        <v>123</v>
      </c>
      <c r="E57">
        <v>3</v>
      </c>
      <c r="F57" t="s">
        <v>117</v>
      </c>
      <c r="G57" t="s">
        <v>118</v>
      </c>
      <c r="H57" t="s">
        <v>59</v>
      </c>
      <c r="I57" t="s">
        <v>64</v>
      </c>
      <c r="J57" t="s">
        <v>47</v>
      </c>
      <c r="K57" t="s">
        <v>35</v>
      </c>
      <c r="L57" t="s">
        <v>36</v>
      </c>
      <c r="M57" t="s">
        <v>50</v>
      </c>
      <c r="N57">
        <v>1500</v>
      </c>
      <c r="O57" s="1">
        <v>44686</v>
      </c>
      <c r="P57" s="2">
        <v>44686</v>
      </c>
    </row>
    <row r="58" spans="1:16" x14ac:dyDescent="0.45">
      <c r="A58">
        <v>57</v>
      </c>
      <c r="C58" t="s">
        <v>125</v>
      </c>
      <c r="D58" t="s">
        <v>126</v>
      </c>
      <c r="E58">
        <v>1</v>
      </c>
      <c r="F58" t="s">
        <v>117</v>
      </c>
      <c r="G58" t="s">
        <v>118</v>
      </c>
      <c r="H58" t="s">
        <v>59</v>
      </c>
      <c r="I58" t="s">
        <v>53</v>
      </c>
      <c r="J58" t="s">
        <v>34</v>
      </c>
      <c r="K58" t="s">
        <v>41</v>
      </c>
      <c r="L58" t="s">
        <v>42</v>
      </c>
      <c r="M58" t="s">
        <v>50</v>
      </c>
      <c r="N58">
        <v>1500</v>
      </c>
      <c r="O58" s="1">
        <v>44686</v>
      </c>
      <c r="P58" s="2">
        <v>44686</v>
      </c>
    </row>
    <row r="59" spans="1:16" x14ac:dyDescent="0.45">
      <c r="A59">
        <v>58</v>
      </c>
      <c r="C59" t="s">
        <v>127</v>
      </c>
      <c r="D59" t="s">
        <v>116</v>
      </c>
      <c r="E59">
        <v>3</v>
      </c>
      <c r="F59" t="s">
        <v>117</v>
      </c>
      <c r="G59" t="s">
        <v>118</v>
      </c>
      <c r="H59" t="s">
        <v>19</v>
      </c>
      <c r="I59" t="s">
        <v>53</v>
      </c>
      <c r="J59" t="s">
        <v>40</v>
      </c>
      <c r="K59" t="s">
        <v>22</v>
      </c>
      <c r="L59" t="s">
        <v>23</v>
      </c>
      <c r="M59" t="s">
        <v>50</v>
      </c>
      <c r="N59">
        <v>1500</v>
      </c>
      <c r="O59" s="1">
        <v>44691</v>
      </c>
      <c r="P59" s="2">
        <v>44691</v>
      </c>
    </row>
    <row r="60" spans="1:16" x14ac:dyDescent="0.45">
      <c r="A60">
        <v>59</v>
      </c>
      <c r="C60" t="s">
        <v>128</v>
      </c>
      <c r="D60" t="s">
        <v>120</v>
      </c>
      <c r="E60">
        <v>3</v>
      </c>
      <c r="F60" t="s">
        <v>117</v>
      </c>
      <c r="G60" t="s">
        <v>118</v>
      </c>
      <c r="H60" t="s">
        <v>19</v>
      </c>
      <c r="I60" t="s">
        <v>39</v>
      </c>
      <c r="J60" t="s">
        <v>57</v>
      </c>
      <c r="K60" t="s">
        <v>29</v>
      </c>
      <c r="L60" t="s">
        <v>30</v>
      </c>
      <c r="M60" t="s">
        <v>50</v>
      </c>
      <c r="N60">
        <v>1500</v>
      </c>
      <c r="O60" s="1">
        <v>44686</v>
      </c>
      <c r="P60" s="2">
        <v>44686</v>
      </c>
    </row>
    <row r="61" spans="1:16" x14ac:dyDescent="0.45">
      <c r="A61">
        <v>60</v>
      </c>
      <c r="C61" t="s">
        <v>129</v>
      </c>
      <c r="D61" t="s">
        <v>130</v>
      </c>
      <c r="E61">
        <v>2</v>
      </c>
      <c r="F61" t="s">
        <v>117</v>
      </c>
      <c r="G61" t="s">
        <v>118</v>
      </c>
      <c r="H61" t="s">
        <v>27</v>
      </c>
      <c r="I61" t="s">
        <v>28</v>
      </c>
      <c r="J61" t="s">
        <v>21</v>
      </c>
      <c r="K61" t="s">
        <v>48</v>
      </c>
      <c r="L61" t="s">
        <v>49</v>
      </c>
      <c r="M61" t="s">
        <v>54</v>
      </c>
      <c r="N61">
        <v>2000</v>
      </c>
      <c r="O61" s="1">
        <v>44686</v>
      </c>
      <c r="P61" s="2">
        <v>44686</v>
      </c>
    </row>
    <row r="62" spans="1:16" x14ac:dyDescent="0.45">
      <c r="A62">
        <v>61</v>
      </c>
      <c r="C62" t="s">
        <v>131</v>
      </c>
      <c r="D62" t="s">
        <v>130</v>
      </c>
      <c r="E62">
        <v>5</v>
      </c>
      <c r="F62" t="s">
        <v>117</v>
      </c>
      <c r="G62" t="s">
        <v>118</v>
      </c>
      <c r="H62" t="s">
        <v>27</v>
      </c>
      <c r="I62" t="s">
        <v>53</v>
      </c>
      <c r="J62" t="s">
        <v>79</v>
      </c>
      <c r="K62" t="s">
        <v>48</v>
      </c>
      <c r="L62" t="s">
        <v>49</v>
      </c>
      <c r="M62" t="s">
        <v>54</v>
      </c>
      <c r="N62">
        <v>2000</v>
      </c>
      <c r="O62" s="1">
        <v>44686</v>
      </c>
      <c r="P62" s="2">
        <v>44686</v>
      </c>
    </row>
    <row r="63" spans="1:16" x14ac:dyDescent="0.45">
      <c r="A63">
        <v>62</v>
      </c>
      <c r="C63" t="s">
        <v>132</v>
      </c>
      <c r="D63" t="s">
        <v>130</v>
      </c>
      <c r="E63">
        <v>1</v>
      </c>
      <c r="F63" t="s">
        <v>117</v>
      </c>
      <c r="G63" t="s">
        <v>118</v>
      </c>
      <c r="H63" t="s">
        <v>44</v>
      </c>
      <c r="I63" t="s">
        <v>53</v>
      </c>
      <c r="J63" t="s">
        <v>71</v>
      </c>
      <c r="K63" t="s">
        <v>48</v>
      </c>
      <c r="L63" t="s">
        <v>49</v>
      </c>
      <c r="M63" t="s">
        <v>54</v>
      </c>
      <c r="N63">
        <v>2000</v>
      </c>
      <c r="O63" s="1">
        <v>44686</v>
      </c>
      <c r="P63" s="2">
        <v>44686</v>
      </c>
    </row>
    <row r="64" spans="1:16" x14ac:dyDescent="0.45">
      <c r="A64">
        <v>63</v>
      </c>
      <c r="C64" t="s">
        <v>133</v>
      </c>
      <c r="D64" t="s">
        <v>130</v>
      </c>
      <c r="E64">
        <v>4</v>
      </c>
      <c r="F64" t="s">
        <v>117</v>
      </c>
      <c r="G64" t="s">
        <v>118</v>
      </c>
      <c r="H64" t="s">
        <v>27</v>
      </c>
      <c r="I64" t="s">
        <v>39</v>
      </c>
      <c r="J64" t="s">
        <v>47</v>
      </c>
      <c r="K64" t="s">
        <v>48</v>
      </c>
      <c r="L64" t="s">
        <v>49</v>
      </c>
      <c r="M64" t="s">
        <v>62</v>
      </c>
      <c r="N64">
        <v>3000</v>
      </c>
      <c r="O64" s="1">
        <v>44686</v>
      </c>
      <c r="P64" s="2">
        <v>44686</v>
      </c>
    </row>
    <row r="65" spans="1:16" x14ac:dyDescent="0.45">
      <c r="A65">
        <v>64</v>
      </c>
      <c r="C65" t="s">
        <v>134</v>
      </c>
      <c r="D65" t="s">
        <v>116</v>
      </c>
      <c r="E65">
        <v>5</v>
      </c>
      <c r="F65" t="s">
        <v>117</v>
      </c>
      <c r="G65" t="s">
        <v>118</v>
      </c>
      <c r="H65" t="s">
        <v>59</v>
      </c>
      <c r="I65" t="s">
        <v>64</v>
      </c>
      <c r="J65" t="s">
        <v>21</v>
      </c>
      <c r="K65" t="s">
        <v>22</v>
      </c>
      <c r="L65" t="s">
        <v>23</v>
      </c>
      <c r="M65" t="s">
        <v>62</v>
      </c>
      <c r="N65">
        <v>3000</v>
      </c>
      <c r="O65" s="1">
        <v>44691</v>
      </c>
      <c r="P65" s="2">
        <v>44691</v>
      </c>
    </row>
    <row r="66" spans="1:16" x14ac:dyDescent="0.45">
      <c r="A66">
        <v>65</v>
      </c>
      <c r="C66" t="s">
        <v>135</v>
      </c>
      <c r="D66" t="s">
        <v>120</v>
      </c>
      <c r="E66">
        <v>7</v>
      </c>
      <c r="F66" t="s">
        <v>117</v>
      </c>
      <c r="G66" t="s">
        <v>118</v>
      </c>
      <c r="H66" t="s">
        <v>44</v>
      </c>
      <c r="I66" t="s">
        <v>53</v>
      </c>
      <c r="J66" t="s">
        <v>21</v>
      </c>
      <c r="K66" t="s">
        <v>29</v>
      </c>
      <c r="L66" t="s">
        <v>30</v>
      </c>
      <c r="M66" t="s">
        <v>62</v>
      </c>
      <c r="N66">
        <v>3000</v>
      </c>
      <c r="O66" s="1">
        <v>44691</v>
      </c>
      <c r="P66" s="2">
        <v>44691</v>
      </c>
    </row>
    <row r="67" spans="1:16" x14ac:dyDescent="0.45">
      <c r="A67">
        <v>66</v>
      </c>
      <c r="C67" t="s">
        <v>136</v>
      </c>
      <c r="D67" t="s">
        <v>126</v>
      </c>
      <c r="E67">
        <v>2</v>
      </c>
      <c r="F67" t="s">
        <v>117</v>
      </c>
      <c r="G67" t="s">
        <v>118</v>
      </c>
      <c r="H67" t="s">
        <v>44</v>
      </c>
      <c r="I67" t="s">
        <v>53</v>
      </c>
      <c r="J67" t="s">
        <v>79</v>
      </c>
      <c r="K67" t="s">
        <v>41</v>
      </c>
      <c r="L67" t="s">
        <v>42</v>
      </c>
      <c r="M67" t="s">
        <v>62</v>
      </c>
      <c r="N67">
        <v>3000</v>
      </c>
      <c r="O67" s="1">
        <v>44686</v>
      </c>
      <c r="P67" s="2">
        <v>44686</v>
      </c>
    </row>
    <row r="68" spans="1:16" x14ac:dyDescent="0.45">
      <c r="A68">
        <v>67</v>
      </c>
      <c r="C68" t="s">
        <v>137</v>
      </c>
      <c r="D68" t="s">
        <v>116</v>
      </c>
      <c r="E68">
        <v>2</v>
      </c>
      <c r="F68" t="s">
        <v>117</v>
      </c>
      <c r="G68" t="s">
        <v>118</v>
      </c>
      <c r="H68" t="s">
        <v>44</v>
      </c>
      <c r="I68" t="s">
        <v>28</v>
      </c>
      <c r="J68" t="s">
        <v>40</v>
      </c>
      <c r="K68" t="s">
        <v>22</v>
      </c>
      <c r="L68" t="s">
        <v>23</v>
      </c>
      <c r="M68" t="s">
        <v>62</v>
      </c>
      <c r="N68">
        <v>3000</v>
      </c>
      <c r="O68" s="1">
        <v>44691</v>
      </c>
      <c r="P68" s="2">
        <v>44691</v>
      </c>
    </row>
    <row r="69" spans="1:16" x14ac:dyDescent="0.45">
      <c r="A69">
        <v>68</v>
      </c>
      <c r="C69" t="s">
        <v>138</v>
      </c>
      <c r="D69" t="s">
        <v>130</v>
      </c>
      <c r="E69">
        <v>3</v>
      </c>
      <c r="F69" t="s">
        <v>117</v>
      </c>
      <c r="G69" t="s">
        <v>118</v>
      </c>
      <c r="H69" t="s">
        <v>19</v>
      </c>
      <c r="I69" t="s">
        <v>28</v>
      </c>
      <c r="J69" t="s">
        <v>40</v>
      </c>
      <c r="K69" t="s">
        <v>48</v>
      </c>
      <c r="L69" t="s">
        <v>49</v>
      </c>
      <c r="M69" t="s">
        <v>62</v>
      </c>
      <c r="N69">
        <v>3000</v>
      </c>
      <c r="O69" s="1">
        <v>44686</v>
      </c>
      <c r="P69" s="2">
        <v>44686</v>
      </c>
    </row>
    <row r="70" spans="1:16" x14ac:dyDescent="0.45">
      <c r="A70">
        <v>69</v>
      </c>
      <c r="C70" t="s">
        <v>139</v>
      </c>
      <c r="D70" t="s">
        <v>116</v>
      </c>
      <c r="E70">
        <v>1</v>
      </c>
      <c r="F70" t="s">
        <v>117</v>
      </c>
      <c r="G70" t="s">
        <v>118</v>
      </c>
      <c r="H70" t="s">
        <v>44</v>
      </c>
      <c r="I70" t="s">
        <v>28</v>
      </c>
      <c r="J70" t="s">
        <v>71</v>
      </c>
      <c r="K70" t="s">
        <v>22</v>
      </c>
      <c r="L70" t="s">
        <v>23</v>
      </c>
      <c r="M70" t="s">
        <v>62</v>
      </c>
      <c r="N70">
        <v>3000</v>
      </c>
      <c r="O70" s="1">
        <v>44691</v>
      </c>
      <c r="P70" s="2">
        <v>44691</v>
      </c>
    </row>
    <row r="71" spans="1:16" x14ac:dyDescent="0.45">
      <c r="A71">
        <v>70</v>
      </c>
      <c r="C71" t="s">
        <v>140</v>
      </c>
      <c r="D71" t="s">
        <v>120</v>
      </c>
      <c r="E71">
        <v>6</v>
      </c>
      <c r="F71" t="s">
        <v>117</v>
      </c>
      <c r="G71" t="s">
        <v>118</v>
      </c>
      <c r="H71" t="s">
        <v>44</v>
      </c>
      <c r="I71" t="s">
        <v>64</v>
      </c>
      <c r="J71" t="s">
        <v>47</v>
      </c>
      <c r="K71" t="s">
        <v>29</v>
      </c>
      <c r="L71" t="s">
        <v>30</v>
      </c>
      <c r="M71" t="s">
        <v>76</v>
      </c>
      <c r="N71">
        <v>5000</v>
      </c>
      <c r="O71" s="1">
        <v>44691</v>
      </c>
      <c r="P71" s="2">
        <v>44691</v>
      </c>
    </row>
    <row r="72" spans="1:16" x14ac:dyDescent="0.45">
      <c r="A72">
        <v>71</v>
      </c>
      <c r="C72" t="s">
        <v>141</v>
      </c>
      <c r="D72" t="s">
        <v>123</v>
      </c>
      <c r="E72">
        <v>2</v>
      </c>
      <c r="F72" t="s">
        <v>117</v>
      </c>
      <c r="G72" t="s">
        <v>118</v>
      </c>
      <c r="H72" t="s">
        <v>27</v>
      </c>
      <c r="I72" t="s">
        <v>61</v>
      </c>
      <c r="J72" t="s">
        <v>47</v>
      </c>
      <c r="K72" t="s">
        <v>35</v>
      </c>
      <c r="L72" t="s">
        <v>36</v>
      </c>
      <c r="M72" t="s">
        <v>76</v>
      </c>
      <c r="N72">
        <v>5000</v>
      </c>
      <c r="O72" s="1">
        <v>44684</v>
      </c>
      <c r="P72" s="2">
        <v>44684</v>
      </c>
    </row>
    <row r="73" spans="1:16" x14ac:dyDescent="0.45">
      <c r="A73">
        <v>72</v>
      </c>
      <c r="C73" t="s">
        <v>142</v>
      </c>
      <c r="D73" t="s">
        <v>126</v>
      </c>
      <c r="E73">
        <v>4</v>
      </c>
      <c r="F73" t="s">
        <v>117</v>
      </c>
      <c r="G73" t="s">
        <v>118</v>
      </c>
      <c r="H73" t="s">
        <v>59</v>
      </c>
      <c r="I73" t="s">
        <v>33</v>
      </c>
      <c r="J73" t="s">
        <v>34</v>
      </c>
      <c r="K73" t="s">
        <v>41</v>
      </c>
      <c r="L73" t="s">
        <v>42</v>
      </c>
      <c r="M73" t="s">
        <v>76</v>
      </c>
      <c r="N73">
        <v>5000</v>
      </c>
      <c r="O73" s="1">
        <v>44686</v>
      </c>
      <c r="P73" s="2">
        <v>44686</v>
      </c>
    </row>
    <row r="74" spans="1:16" x14ac:dyDescent="0.45">
      <c r="A74">
        <v>73</v>
      </c>
      <c r="C74" t="s">
        <v>143</v>
      </c>
      <c r="D74" t="s">
        <v>126</v>
      </c>
      <c r="E74">
        <v>3</v>
      </c>
      <c r="F74" t="s">
        <v>117</v>
      </c>
      <c r="G74" t="s">
        <v>118</v>
      </c>
      <c r="H74" t="s">
        <v>19</v>
      </c>
      <c r="I74" t="s">
        <v>61</v>
      </c>
      <c r="J74" t="s">
        <v>34</v>
      </c>
      <c r="K74" t="s">
        <v>41</v>
      </c>
      <c r="L74" t="s">
        <v>42</v>
      </c>
      <c r="M74" t="s">
        <v>76</v>
      </c>
      <c r="N74">
        <v>5000</v>
      </c>
      <c r="O74" s="1">
        <v>44686</v>
      </c>
      <c r="P74" s="2">
        <v>44686</v>
      </c>
    </row>
    <row r="75" spans="1:16" x14ac:dyDescent="0.45">
      <c r="A75">
        <v>74</v>
      </c>
      <c r="C75" t="s">
        <v>144</v>
      </c>
      <c r="D75" t="s">
        <v>123</v>
      </c>
      <c r="E75">
        <v>4</v>
      </c>
      <c r="F75" t="s">
        <v>117</v>
      </c>
      <c r="G75" t="s">
        <v>118</v>
      </c>
      <c r="H75" t="s">
        <v>19</v>
      </c>
      <c r="I75" t="s">
        <v>39</v>
      </c>
      <c r="J75" t="s">
        <v>21</v>
      </c>
      <c r="K75" t="s">
        <v>35</v>
      </c>
      <c r="L75" t="s">
        <v>36</v>
      </c>
      <c r="M75" t="s">
        <v>82</v>
      </c>
      <c r="N75">
        <v>10000</v>
      </c>
      <c r="O75" s="1">
        <v>44686</v>
      </c>
      <c r="P75" s="2">
        <v>44686</v>
      </c>
    </row>
    <row r="76" spans="1:16" x14ac:dyDescent="0.45">
      <c r="A76">
        <v>75</v>
      </c>
      <c r="C76" t="s">
        <v>145</v>
      </c>
      <c r="D76" t="s">
        <v>120</v>
      </c>
      <c r="E76">
        <v>1</v>
      </c>
      <c r="F76" t="s">
        <v>117</v>
      </c>
      <c r="G76" t="s">
        <v>118</v>
      </c>
      <c r="H76" t="s">
        <v>27</v>
      </c>
      <c r="I76" t="s">
        <v>53</v>
      </c>
      <c r="J76" t="s">
        <v>79</v>
      </c>
      <c r="K76" t="s">
        <v>29</v>
      </c>
      <c r="L76" t="s">
        <v>30</v>
      </c>
      <c r="M76" t="s">
        <v>82</v>
      </c>
      <c r="N76">
        <v>10000</v>
      </c>
      <c r="O76" s="1">
        <v>44686</v>
      </c>
      <c r="P76" s="2">
        <v>44686</v>
      </c>
    </row>
    <row r="77" spans="1:16" x14ac:dyDescent="0.45">
      <c r="A77">
        <v>76</v>
      </c>
      <c r="C77" t="s">
        <v>146</v>
      </c>
      <c r="D77" t="s">
        <v>120</v>
      </c>
      <c r="E77">
        <v>4</v>
      </c>
      <c r="F77" t="s">
        <v>117</v>
      </c>
      <c r="G77" t="s">
        <v>118</v>
      </c>
      <c r="H77" t="s">
        <v>59</v>
      </c>
      <c r="I77" t="s">
        <v>64</v>
      </c>
      <c r="J77" t="s">
        <v>71</v>
      </c>
      <c r="K77" t="s">
        <v>29</v>
      </c>
      <c r="L77" t="s">
        <v>30</v>
      </c>
      <c r="M77" t="s">
        <v>82</v>
      </c>
      <c r="N77">
        <v>10000</v>
      </c>
      <c r="O77" s="1">
        <v>44686</v>
      </c>
      <c r="P77" s="2">
        <v>44686</v>
      </c>
    </row>
    <row r="78" spans="1:16" x14ac:dyDescent="0.45">
      <c r="A78">
        <v>77</v>
      </c>
      <c r="C78" t="s">
        <v>147</v>
      </c>
      <c r="D78" t="s">
        <v>148</v>
      </c>
      <c r="E78">
        <v>4</v>
      </c>
      <c r="F78" t="s">
        <v>149</v>
      </c>
      <c r="G78" t="s">
        <v>150</v>
      </c>
      <c r="H78" t="s">
        <v>27</v>
      </c>
      <c r="I78" t="s">
        <v>66</v>
      </c>
      <c r="J78" t="s">
        <v>79</v>
      </c>
      <c r="K78" t="s">
        <v>41</v>
      </c>
      <c r="L78" t="s">
        <v>42</v>
      </c>
      <c r="M78" t="s">
        <v>24</v>
      </c>
      <c r="N78">
        <v>1000</v>
      </c>
      <c r="O78" s="1">
        <v>44693</v>
      </c>
      <c r="P78" s="2">
        <v>44693</v>
      </c>
    </row>
    <row r="79" spans="1:16" x14ac:dyDescent="0.45">
      <c r="A79">
        <v>78</v>
      </c>
      <c r="C79" t="s">
        <v>151</v>
      </c>
      <c r="D79" t="s">
        <v>152</v>
      </c>
      <c r="E79">
        <v>5</v>
      </c>
      <c r="F79" t="s">
        <v>149</v>
      </c>
      <c r="G79" t="s">
        <v>150</v>
      </c>
      <c r="H79" t="s">
        <v>19</v>
      </c>
      <c r="I79" t="s">
        <v>53</v>
      </c>
      <c r="J79" t="s">
        <v>57</v>
      </c>
      <c r="K79" t="s">
        <v>48</v>
      </c>
      <c r="L79" t="s">
        <v>49</v>
      </c>
      <c r="M79" t="s">
        <v>24</v>
      </c>
      <c r="N79">
        <v>1000</v>
      </c>
      <c r="O79" s="1">
        <v>44704</v>
      </c>
      <c r="P79" s="2">
        <v>44704</v>
      </c>
    </row>
    <row r="80" spans="1:16" x14ac:dyDescent="0.45">
      <c r="A80">
        <v>79</v>
      </c>
      <c r="C80" t="s">
        <v>153</v>
      </c>
      <c r="D80" t="s">
        <v>152</v>
      </c>
      <c r="E80">
        <v>2</v>
      </c>
      <c r="F80" t="s">
        <v>149</v>
      </c>
      <c r="G80" t="s">
        <v>150</v>
      </c>
      <c r="H80" t="s">
        <v>59</v>
      </c>
      <c r="I80" t="s">
        <v>33</v>
      </c>
      <c r="J80" t="s">
        <v>71</v>
      </c>
      <c r="K80" t="s">
        <v>48</v>
      </c>
      <c r="L80" t="s">
        <v>49</v>
      </c>
      <c r="M80" t="s">
        <v>24</v>
      </c>
      <c r="N80">
        <v>1000</v>
      </c>
      <c r="O80" s="1">
        <v>44693</v>
      </c>
      <c r="P80" s="2">
        <v>44693</v>
      </c>
    </row>
    <row r="81" spans="1:16" x14ac:dyDescent="0.45">
      <c r="A81">
        <v>80</v>
      </c>
      <c r="C81" t="s">
        <v>154</v>
      </c>
      <c r="D81" t="s">
        <v>155</v>
      </c>
      <c r="E81">
        <v>1</v>
      </c>
      <c r="F81" t="s">
        <v>149</v>
      </c>
      <c r="G81" t="s">
        <v>150</v>
      </c>
      <c r="H81" t="s">
        <v>27</v>
      </c>
      <c r="I81" t="s">
        <v>64</v>
      </c>
      <c r="J81" t="s">
        <v>79</v>
      </c>
      <c r="K81" t="s">
        <v>29</v>
      </c>
      <c r="L81" t="s">
        <v>30</v>
      </c>
      <c r="M81" t="s">
        <v>50</v>
      </c>
      <c r="N81">
        <v>1500</v>
      </c>
      <c r="O81" s="1">
        <v>44704</v>
      </c>
      <c r="P81" s="2">
        <v>44704</v>
      </c>
    </row>
    <row r="82" spans="1:16" x14ac:dyDescent="0.45">
      <c r="A82">
        <v>81</v>
      </c>
      <c r="C82" t="s">
        <v>156</v>
      </c>
      <c r="D82" t="s">
        <v>152</v>
      </c>
      <c r="E82">
        <v>6</v>
      </c>
      <c r="F82" t="s">
        <v>149</v>
      </c>
      <c r="G82" t="s">
        <v>150</v>
      </c>
      <c r="H82" t="s">
        <v>19</v>
      </c>
      <c r="I82" t="s">
        <v>61</v>
      </c>
      <c r="J82" t="s">
        <v>79</v>
      </c>
      <c r="K82" t="s">
        <v>48</v>
      </c>
      <c r="L82" t="s">
        <v>49</v>
      </c>
      <c r="M82" t="s">
        <v>50</v>
      </c>
      <c r="N82">
        <v>1500</v>
      </c>
      <c r="O82" s="1">
        <v>44704</v>
      </c>
      <c r="P82" s="2">
        <v>44704</v>
      </c>
    </row>
    <row r="83" spans="1:16" x14ac:dyDescent="0.45">
      <c r="A83">
        <v>82</v>
      </c>
      <c r="C83" t="s">
        <v>157</v>
      </c>
      <c r="D83" t="s">
        <v>148</v>
      </c>
      <c r="E83">
        <v>2</v>
      </c>
      <c r="F83" t="s">
        <v>149</v>
      </c>
      <c r="G83" t="s">
        <v>150</v>
      </c>
      <c r="H83" t="s">
        <v>44</v>
      </c>
      <c r="I83" t="s">
        <v>28</v>
      </c>
      <c r="J83" t="s">
        <v>57</v>
      </c>
      <c r="K83" t="s">
        <v>41</v>
      </c>
      <c r="L83" t="s">
        <v>42</v>
      </c>
      <c r="M83" t="s">
        <v>50</v>
      </c>
      <c r="N83">
        <v>1500</v>
      </c>
      <c r="O83" s="1">
        <v>44693</v>
      </c>
      <c r="P83" s="2">
        <v>44693</v>
      </c>
    </row>
    <row r="84" spans="1:16" x14ac:dyDescent="0.45">
      <c r="A84">
        <v>83</v>
      </c>
      <c r="C84" t="s">
        <v>158</v>
      </c>
      <c r="D84" t="s">
        <v>152</v>
      </c>
      <c r="E84">
        <v>3</v>
      </c>
      <c r="F84" t="s">
        <v>149</v>
      </c>
      <c r="G84" t="s">
        <v>150</v>
      </c>
      <c r="H84" t="s">
        <v>59</v>
      </c>
      <c r="I84" t="s">
        <v>39</v>
      </c>
      <c r="J84" t="s">
        <v>71</v>
      </c>
      <c r="K84" t="s">
        <v>48</v>
      </c>
      <c r="L84" t="s">
        <v>49</v>
      </c>
      <c r="M84" t="s">
        <v>50</v>
      </c>
      <c r="N84">
        <v>1500</v>
      </c>
      <c r="O84" s="1">
        <v>44693</v>
      </c>
      <c r="P84" s="2">
        <v>44693</v>
      </c>
    </row>
    <row r="85" spans="1:16" x14ac:dyDescent="0.45">
      <c r="A85">
        <v>84</v>
      </c>
      <c r="C85" t="s">
        <v>159</v>
      </c>
      <c r="D85" t="s">
        <v>160</v>
      </c>
      <c r="E85">
        <v>2</v>
      </c>
      <c r="F85" t="s">
        <v>149</v>
      </c>
      <c r="G85" t="s">
        <v>150</v>
      </c>
      <c r="H85" t="s">
        <v>19</v>
      </c>
      <c r="I85" t="s">
        <v>33</v>
      </c>
      <c r="J85" t="s">
        <v>47</v>
      </c>
      <c r="K85" t="s">
        <v>35</v>
      </c>
      <c r="L85" t="s">
        <v>36</v>
      </c>
      <c r="M85" t="s">
        <v>54</v>
      </c>
      <c r="N85">
        <v>2000</v>
      </c>
      <c r="O85" s="1">
        <v>44693</v>
      </c>
      <c r="P85" s="2">
        <v>44693</v>
      </c>
    </row>
    <row r="86" spans="1:16" x14ac:dyDescent="0.45">
      <c r="A86">
        <v>85</v>
      </c>
      <c r="C86" t="s">
        <v>161</v>
      </c>
      <c r="D86" t="s">
        <v>152</v>
      </c>
      <c r="E86">
        <v>7</v>
      </c>
      <c r="F86" t="s">
        <v>149</v>
      </c>
      <c r="G86" t="s">
        <v>150</v>
      </c>
      <c r="H86" t="s">
        <v>27</v>
      </c>
      <c r="I86" t="s">
        <v>61</v>
      </c>
      <c r="J86" t="s">
        <v>21</v>
      </c>
      <c r="K86" t="s">
        <v>48</v>
      </c>
      <c r="L86" t="s">
        <v>49</v>
      </c>
      <c r="M86" t="s">
        <v>54</v>
      </c>
      <c r="N86">
        <v>2000</v>
      </c>
      <c r="O86" s="1">
        <v>44704</v>
      </c>
      <c r="P86" s="2">
        <v>44704</v>
      </c>
    </row>
    <row r="87" spans="1:16" x14ac:dyDescent="0.45">
      <c r="A87">
        <v>86</v>
      </c>
      <c r="C87" t="s">
        <v>162</v>
      </c>
      <c r="D87" t="s">
        <v>152</v>
      </c>
      <c r="E87">
        <v>1</v>
      </c>
      <c r="F87" t="s">
        <v>149</v>
      </c>
      <c r="G87" t="s">
        <v>150</v>
      </c>
      <c r="H87" t="s">
        <v>27</v>
      </c>
      <c r="I87" t="s">
        <v>64</v>
      </c>
      <c r="J87" t="s">
        <v>21</v>
      </c>
      <c r="K87" t="s">
        <v>48</v>
      </c>
      <c r="L87" t="s">
        <v>49</v>
      </c>
      <c r="M87" t="s">
        <v>54</v>
      </c>
      <c r="N87">
        <v>2000</v>
      </c>
      <c r="O87" s="1">
        <v>44693</v>
      </c>
      <c r="P87" s="2">
        <v>44693</v>
      </c>
    </row>
    <row r="88" spans="1:16" x14ac:dyDescent="0.45">
      <c r="A88">
        <v>87</v>
      </c>
      <c r="C88" t="s">
        <v>163</v>
      </c>
      <c r="D88" t="s">
        <v>164</v>
      </c>
      <c r="E88">
        <v>2</v>
      </c>
      <c r="F88" t="s">
        <v>149</v>
      </c>
      <c r="G88" t="s">
        <v>150</v>
      </c>
      <c r="H88" t="s">
        <v>59</v>
      </c>
      <c r="I88" t="s">
        <v>61</v>
      </c>
      <c r="J88" t="s">
        <v>79</v>
      </c>
      <c r="K88" t="s">
        <v>22</v>
      </c>
      <c r="L88" t="s">
        <v>23</v>
      </c>
      <c r="M88" t="s">
        <v>54</v>
      </c>
      <c r="N88">
        <v>2000</v>
      </c>
      <c r="O88" s="1">
        <v>44704</v>
      </c>
      <c r="P88" s="2">
        <v>44704</v>
      </c>
    </row>
    <row r="89" spans="1:16" x14ac:dyDescent="0.45">
      <c r="A89">
        <v>88</v>
      </c>
      <c r="C89" t="s">
        <v>165</v>
      </c>
      <c r="D89" t="s">
        <v>160</v>
      </c>
      <c r="E89">
        <v>4</v>
      </c>
      <c r="F89" t="s">
        <v>149</v>
      </c>
      <c r="G89" t="s">
        <v>150</v>
      </c>
      <c r="H89" t="s">
        <v>59</v>
      </c>
      <c r="I89" t="s">
        <v>66</v>
      </c>
      <c r="J89" t="s">
        <v>79</v>
      </c>
      <c r="K89" t="s">
        <v>35</v>
      </c>
      <c r="L89" t="s">
        <v>36</v>
      </c>
      <c r="M89" t="s">
        <v>54</v>
      </c>
      <c r="N89">
        <v>2000</v>
      </c>
      <c r="O89" s="1">
        <v>44693</v>
      </c>
      <c r="P89" s="2">
        <v>44693</v>
      </c>
    </row>
    <row r="90" spans="1:16" x14ac:dyDescent="0.45">
      <c r="A90">
        <v>89</v>
      </c>
      <c r="C90" t="s">
        <v>166</v>
      </c>
      <c r="D90" t="s">
        <v>164</v>
      </c>
      <c r="E90">
        <v>4</v>
      </c>
      <c r="F90" t="s">
        <v>149</v>
      </c>
      <c r="G90" t="s">
        <v>150</v>
      </c>
      <c r="H90" t="s">
        <v>59</v>
      </c>
      <c r="I90" t="s">
        <v>66</v>
      </c>
      <c r="J90" t="s">
        <v>57</v>
      </c>
      <c r="K90" t="s">
        <v>22</v>
      </c>
      <c r="L90" t="s">
        <v>23</v>
      </c>
      <c r="M90" t="s">
        <v>54</v>
      </c>
      <c r="N90">
        <v>2000</v>
      </c>
      <c r="O90" s="1">
        <v>44704</v>
      </c>
      <c r="P90" s="2">
        <v>44704</v>
      </c>
    </row>
    <row r="91" spans="1:16" x14ac:dyDescent="0.45">
      <c r="A91">
        <v>90</v>
      </c>
      <c r="C91" t="s">
        <v>167</v>
      </c>
      <c r="D91" t="s">
        <v>164</v>
      </c>
      <c r="E91">
        <v>3</v>
      </c>
      <c r="F91" t="s">
        <v>149</v>
      </c>
      <c r="G91" t="s">
        <v>150</v>
      </c>
      <c r="H91" t="s">
        <v>44</v>
      </c>
      <c r="I91" t="s">
        <v>28</v>
      </c>
      <c r="J91" t="s">
        <v>71</v>
      </c>
      <c r="K91" t="s">
        <v>22</v>
      </c>
      <c r="L91" t="s">
        <v>23</v>
      </c>
      <c r="M91" t="s">
        <v>54</v>
      </c>
      <c r="N91">
        <v>2000</v>
      </c>
      <c r="O91" s="1">
        <v>44704</v>
      </c>
      <c r="P91" s="2">
        <v>44704</v>
      </c>
    </row>
    <row r="92" spans="1:16" x14ac:dyDescent="0.45">
      <c r="A92">
        <v>91</v>
      </c>
      <c r="C92" t="s">
        <v>168</v>
      </c>
      <c r="D92" t="s">
        <v>164</v>
      </c>
      <c r="E92">
        <v>1</v>
      </c>
      <c r="F92" t="s">
        <v>149</v>
      </c>
      <c r="G92" t="s">
        <v>150</v>
      </c>
      <c r="H92" t="s">
        <v>44</v>
      </c>
      <c r="I92" t="s">
        <v>28</v>
      </c>
      <c r="J92" t="s">
        <v>71</v>
      </c>
      <c r="K92" t="s">
        <v>22</v>
      </c>
      <c r="L92" t="s">
        <v>23</v>
      </c>
      <c r="M92" t="s">
        <v>54</v>
      </c>
      <c r="N92">
        <v>2000</v>
      </c>
      <c r="O92" s="1">
        <v>44704</v>
      </c>
      <c r="P92" s="2">
        <v>44704</v>
      </c>
    </row>
    <row r="93" spans="1:16" x14ac:dyDescent="0.45">
      <c r="A93">
        <v>92</v>
      </c>
      <c r="C93" t="s">
        <v>169</v>
      </c>
      <c r="D93" t="s">
        <v>160</v>
      </c>
      <c r="E93">
        <v>5</v>
      </c>
      <c r="F93" t="s">
        <v>149</v>
      </c>
      <c r="G93" t="s">
        <v>150</v>
      </c>
      <c r="H93" t="s">
        <v>44</v>
      </c>
      <c r="I93" t="s">
        <v>28</v>
      </c>
      <c r="J93" t="s">
        <v>34</v>
      </c>
      <c r="K93" t="s">
        <v>35</v>
      </c>
      <c r="L93" t="s">
        <v>36</v>
      </c>
      <c r="M93" t="s">
        <v>62</v>
      </c>
      <c r="N93">
        <v>3000</v>
      </c>
      <c r="O93" s="1">
        <v>44693</v>
      </c>
      <c r="P93" s="2">
        <v>44693</v>
      </c>
    </row>
    <row r="94" spans="1:16" x14ac:dyDescent="0.45">
      <c r="A94">
        <v>93</v>
      </c>
      <c r="C94" t="s">
        <v>170</v>
      </c>
      <c r="D94" t="s">
        <v>155</v>
      </c>
      <c r="E94">
        <v>3</v>
      </c>
      <c r="F94" t="s">
        <v>149</v>
      </c>
      <c r="G94" t="s">
        <v>150</v>
      </c>
      <c r="H94" t="s">
        <v>44</v>
      </c>
      <c r="I94" t="s">
        <v>33</v>
      </c>
      <c r="J94" t="s">
        <v>79</v>
      </c>
      <c r="K94" t="s">
        <v>29</v>
      </c>
      <c r="L94" t="s">
        <v>30</v>
      </c>
      <c r="M94" t="s">
        <v>76</v>
      </c>
      <c r="N94">
        <v>5000</v>
      </c>
      <c r="O94" s="1">
        <v>44704</v>
      </c>
      <c r="P94" s="2">
        <v>44704</v>
      </c>
    </row>
    <row r="95" spans="1:16" x14ac:dyDescent="0.45">
      <c r="A95">
        <v>94</v>
      </c>
      <c r="C95" t="s">
        <v>171</v>
      </c>
      <c r="D95" t="s">
        <v>155</v>
      </c>
      <c r="E95">
        <v>2</v>
      </c>
      <c r="F95" t="s">
        <v>149</v>
      </c>
      <c r="G95" t="s">
        <v>150</v>
      </c>
      <c r="H95" t="s">
        <v>19</v>
      </c>
      <c r="I95" t="s">
        <v>61</v>
      </c>
      <c r="J95" t="s">
        <v>79</v>
      </c>
      <c r="K95" t="s">
        <v>29</v>
      </c>
      <c r="L95" t="s">
        <v>30</v>
      </c>
      <c r="M95" t="s">
        <v>76</v>
      </c>
      <c r="N95">
        <v>5000</v>
      </c>
      <c r="O95" s="1">
        <v>44704</v>
      </c>
      <c r="P95" s="2">
        <v>44704</v>
      </c>
    </row>
    <row r="96" spans="1:16" x14ac:dyDescent="0.45">
      <c r="A96">
        <v>95</v>
      </c>
      <c r="C96" t="s">
        <v>172</v>
      </c>
      <c r="D96" t="s">
        <v>148</v>
      </c>
      <c r="E96">
        <v>3</v>
      </c>
      <c r="F96" t="s">
        <v>149</v>
      </c>
      <c r="G96" t="s">
        <v>150</v>
      </c>
      <c r="H96" t="s">
        <v>19</v>
      </c>
      <c r="I96" t="s">
        <v>53</v>
      </c>
      <c r="J96" t="s">
        <v>40</v>
      </c>
      <c r="K96" t="s">
        <v>41</v>
      </c>
      <c r="L96" t="s">
        <v>42</v>
      </c>
      <c r="M96" t="s">
        <v>76</v>
      </c>
      <c r="N96">
        <v>5000</v>
      </c>
      <c r="O96" s="1">
        <v>44693</v>
      </c>
      <c r="P96" s="2">
        <v>44693</v>
      </c>
    </row>
    <row r="97" spans="1:16" x14ac:dyDescent="0.45">
      <c r="A97">
        <v>96</v>
      </c>
      <c r="C97" t="s">
        <v>173</v>
      </c>
      <c r="D97" t="s">
        <v>160</v>
      </c>
      <c r="E97">
        <v>1</v>
      </c>
      <c r="F97" t="s">
        <v>149</v>
      </c>
      <c r="G97" t="s">
        <v>150</v>
      </c>
      <c r="H97" t="s">
        <v>44</v>
      </c>
      <c r="I97" t="s">
        <v>66</v>
      </c>
      <c r="J97" t="s">
        <v>71</v>
      </c>
      <c r="K97" t="s">
        <v>35</v>
      </c>
      <c r="L97" t="s">
        <v>36</v>
      </c>
      <c r="M97" t="s">
        <v>76</v>
      </c>
      <c r="N97">
        <v>5000</v>
      </c>
      <c r="O97" s="1">
        <v>44691</v>
      </c>
      <c r="P97" s="2">
        <v>44691</v>
      </c>
    </row>
    <row r="98" spans="1:16" x14ac:dyDescent="0.45">
      <c r="A98">
        <v>97</v>
      </c>
      <c r="C98" t="s">
        <v>174</v>
      </c>
      <c r="D98" t="s">
        <v>152</v>
      </c>
      <c r="E98">
        <v>4</v>
      </c>
      <c r="F98" t="s">
        <v>149</v>
      </c>
      <c r="G98" t="s">
        <v>150</v>
      </c>
      <c r="H98" t="s">
        <v>27</v>
      </c>
      <c r="I98" t="s">
        <v>33</v>
      </c>
      <c r="J98" t="s">
        <v>47</v>
      </c>
      <c r="K98" t="s">
        <v>48</v>
      </c>
      <c r="L98" t="s">
        <v>49</v>
      </c>
      <c r="M98" t="s">
        <v>82</v>
      </c>
      <c r="N98">
        <v>10000</v>
      </c>
      <c r="O98" s="1">
        <v>44693</v>
      </c>
      <c r="P98" s="2">
        <v>44693</v>
      </c>
    </row>
    <row r="99" spans="1:16" x14ac:dyDescent="0.45">
      <c r="A99">
        <v>98</v>
      </c>
      <c r="C99" t="s">
        <v>175</v>
      </c>
      <c r="D99" t="s">
        <v>148</v>
      </c>
      <c r="E99">
        <v>5</v>
      </c>
      <c r="F99" t="s">
        <v>149</v>
      </c>
      <c r="G99" t="s">
        <v>150</v>
      </c>
      <c r="H99" t="s">
        <v>27</v>
      </c>
      <c r="I99" t="s">
        <v>64</v>
      </c>
      <c r="J99" t="s">
        <v>21</v>
      </c>
      <c r="K99" t="s">
        <v>41</v>
      </c>
      <c r="L99" t="s">
        <v>42</v>
      </c>
      <c r="M99" t="s">
        <v>82</v>
      </c>
      <c r="N99">
        <v>10000</v>
      </c>
      <c r="O99" s="1">
        <v>44693</v>
      </c>
      <c r="P99" s="2">
        <v>44693</v>
      </c>
    </row>
    <row r="100" spans="1:16" x14ac:dyDescent="0.45">
      <c r="A100">
        <v>99</v>
      </c>
      <c r="C100" t="s">
        <v>176</v>
      </c>
      <c r="D100" t="s">
        <v>160</v>
      </c>
      <c r="E100">
        <v>3</v>
      </c>
      <c r="F100" t="s">
        <v>149</v>
      </c>
      <c r="G100" t="s">
        <v>150</v>
      </c>
      <c r="H100" t="s">
        <v>59</v>
      </c>
      <c r="I100" t="s">
        <v>66</v>
      </c>
      <c r="J100" t="s">
        <v>79</v>
      </c>
      <c r="K100" t="s">
        <v>35</v>
      </c>
      <c r="L100" t="s">
        <v>36</v>
      </c>
      <c r="M100" t="s">
        <v>82</v>
      </c>
      <c r="N100">
        <v>10000</v>
      </c>
      <c r="O100" s="1">
        <v>44693</v>
      </c>
      <c r="P100" s="2">
        <v>44693</v>
      </c>
    </row>
    <row r="101" spans="1:16" x14ac:dyDescent="0.45">
      <c r="A101">
        <v>100</v>
      </c>
      <c r="C101" t="s">
        <v>177</v>
      </c>
      <c r="D101" t="s">
        <v>148</v>
      </c>
      <c r="E101">
        <v>1</v>
      </c>
      <c r="F101" t="s">
        <v>149</v>
      </c>
      <c r="G101" t="s">
        <v>150</v>
      </c>
      <c r="H101" t="s">
        <v>59</v>
      </c>
      <c r="I101" t="s">
        <v>39</v>
      </c>
      <c r="J101" t="s">
        <v>57</v>
      </c>
      <c r="K101" t="s">
        <v>41</v>
      </c>
      <c r="L101" t="s">
        <v>42</v>
      </c>
      <c r="M101" t="s">
        <v>82</v>
      </c>
      <c r="N101">
        <v>10000</v>
      </c>
      <c r="O101" s="1">
        <v>44693</v>
      </c>
      <c r="P101" s="2">
        <v>44693</v>
      </c>
    </row>
  </sheetData>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1"/>
  <sheetViews>
    <sheetView workbookViewId="0">
      <selection activeCell="H1" sqref="H1"/>
    </sheetView>
  </sheetViews>
  <sheetFormatPr defaultRowHeight="18" x14ac:dyDescent="0.45"/>
  <cols>
    <col min="1" max="1" width="4.5" bestFit="1" customWidth="1"/>
    <col min="2" max="2" width="4" customWidth="1"/>
    <col min="3" max="3" width="12" customWidth="1"/>
    <col min="4" max="5" width="8.796875" hidden="1" customWidth="1"/>
    <col min="6" max="6" width="12" customWidth="1"/>
    <col min="7" max="7" width="8.796875" hidden="1" customWidth="1"/>
    <col min="8" max="8" width="12" customWidth="1"/>
    <col min="9" max="9" width="7.09765625" bestFit="1" customWidth="1"/>
    <col min="10" max="10" width="8.296875" customWidth="1"/>
    <col min="11" max="11" width="10.3984375" bestFit="1" customWidth="1"/>
    <col min="12" max="12" width="8.796875" hidden="1" customWidth="1"/>
    <col min="13" max="13" width="8.3984375" bestFit="1" customWidth="1"/>
    <col min="14" max="14" width="8.796875" hidden="1" customWidth="1"/>
    <col min="15" max="15" width="10.19921875" customWidth="1"/>
    <col min="16" max="16" width="8.796875" hidden="1" customWidth="1"/>
  </cols>
  <sheetData>
    <row r="1" spans="1:16" x14ac:dyDescent="0.45">
      <c r="A1" t="s">
        <v>0</v>
      </c>
      <c r="C1" t="s">
        <v>1</v>
      </c>
      <c r="D1" t="s">
        <v>2</v>
      </c>
      <c r="E1" t="s">
        <v>3</v>
      </c>
      <c r="F1" t="s">
        <v>4</v>
      </c>
      <c r="G1" t="s">
        <v>5</v>
      </c>
      <c r="H1" t="s">
        <v>6</v>
      </c>
      <c r="I1" t="s">
        <v>7</v>
      </c>
      <c r="J1" t="s">
        <v>8</v>
      </c>
      <c r="K1" t="s">
        <v>9</v>
      </c>
      <c r="L1" t="s">
        <v>10</v>
      </c>
      <c r="M1" t="s">
        <v>11</v>
      </c>
      <c r="N1" t="s">
        <v>12</v>
      </c>
      <c r="O1" t="s">
        <v>13</v>
      </c>
      <c r="P1" t="s">
        <v>14</v>
      </c>
    </row>
    <row r="2" spans="1:16" hidden="1" x14ac:dyDescent="0.45">
      <c r="A2">
        <v>1</v>
      </c>
      <c r="C2" t="s">
        <v>15</v>
      </c>
      <c r="D2" t="s">
        <v>16</v>
      </c>
      <c r="E2">
        <v>3</v>
      </c>
      <c r="F2" t="s">
        <v>17</v>
      </c>
      <c r="G2" t="s">
        <v>18</v>
      </c>
      <c r="H2" t="s">
        <v>19</v>
      </c>
      <c r="I2" t="s">
        <v>20</v>
      </c>
      <c r="J2" t="s">
        <v>21</v>
      </c>
      <c r="K2" t="s">
        <v>22</v>
      </c>
      <c r="L2" t="s">
        <v>23</v>
      </c>
      <c r="M2" s="3">
        <f>N2</f>
        <v>1000</v>
      </c>
      <c r="N2">
        <v>1000</v>
      </c>
      <c r="O2" s="1">
        <v>44731</v>
      </c>
      <c r="P2" s="2">
        <v>44731</v>
      </c>
    </row>
    <row r="3" spans="1:16" hidden="1" x14ac:dyDescent="0.45">
      <c r="A3">
        <v>2</v>
      </c>
      <c r="C3" t="s">
        <v>25</v>
      </c>
      <c r="D3" t="s">
        <v>26</v>
      </c>
      <c r="E3">
        <v>3</v>
      </c>
      <c r="F3" t="s">
        <v>17</v>
      </c>
      <c r="G3" t="s">
        <v>18</v>
      </c>
      <c r="H3" t="s">
        <v>27</v>
      </c>
      <c r="I3" t="s">
        <v>28</v>
      </c>
      <c r="J3" t="s">
        <v>21</v>
      </c>
      <c r="K3" t="s">
        <v>29</v>
      </c>
      <c r="L3" t="s">
        <v>30</v>
      </c>
      <c r="M3" s="3">
        <f t="shared" ref="M3:M66" si="0">N3</f>
        <v>1000</v>
      </c>
      <c r="N3">
        <v>1000</v>
      </c>
      <c r="O3" s="1">
        <v>44723</v>
      </c>
      <c r="P3" s="2">
        <v>44723</v>
      </c>
    </row>
    <row r="4" spans="1:16" hidden="1" x14ac:dyDescent="0.45">
      <c r="A4">
        <v>3</v>
      </c>
      <c r="C4" t="s">
        <v>31</v>
      </c>
      <c r="D4" t="s">
        <v>32</v>
      </c>
      <c r="E4">
        <v>5</v>
      </c>
      <c r="F4" t="s">
        <v>17</v>
      </c>
      <c r="G4" t="s">
        <v>18</v>
      </c>
      <c r="H4" t="s">
        <v>19</v>
      </c>
      <c r="I4" t="s">
        <v>33</v>
      </c>
      <c r="J4" t="s">
        <v>34</v>
      </c>
      <c r="K4" t="s">
        <v>35</v>
      </c>
      <c r="L4" t="s">
        <v>36</v>
      </c>
      <c r="M4" s="3">
        <f t="shared" si="0"/>
        <v>1000</v>
      </c>
      <c r="N4">
        <v>1000</v>
      </c>
      <c r="O4" s="1">
        <v>44705</v>
      </c>
      <c r="P4" s="2">
        <v>44705</v>
      </c>
    </row>
    <row r="5" spans="1:16" hidden="1" x14ac:dyDescent="0.45">
      <c r="A5">
        <v>4</v>
      </c>
      <c r="C5" t="s">
        <v>37</v>
      </c>
      <c r="D5" t="s">
        <v>38</v>
      </c>
      <c r="E5">
        <v>4</v>
      </c>
      <c r="F5" t="s">
        <v>17</v>
      </c>
      <c r="G5" t="s">
        <v>18</v>
      </c>
      <c r="H5" t="s">
        <v>19</v>
      </c>
      <c r="I5" t="s">
        <v>39</v>
      </c>
      <c r="J5" t="s">
        <v>40</v>
      </c>
      <c r="K5" t="s">
        <v>41</v>
      </c>
      <c r="L5" t="s">
        <v>42</v>
      </c>
      <c r="M5" s="3">
        <f t="shared" si="0"/>
        <v>1000</v>
      </c>
      <c r="N5">
        <v>1000</v>
      </c>
      <c r="O5" s="1">
        <v>44705</v>
      </c>
      <c r="P5" s="2">
        <v>44705</v>
      </c>
    </row>
    <row r="6" spans="1:16" hidden="1" x14ac:dyDescent="0.45">
      <c r="A6">
        <v>5</v>
      </c>
      <c r="C6" t="s">
        <v>43</v>
      </c>
      <c r="D6" t="s">
        <v>38</v>
      </c>
      <c r="E6">
        <v>2</v>
      </c>
      <c r="F6" t="s">
        <v>17</v>
      </c>
      <c r="G6" t="s">
        <v>18</v>
      </c>
      <c r="H6" t="s">
        <v>44</v>
      </c>
      <c r="I6" t="s">
        <v>33</v>
      </c>
      <c r="J6" t="s">
        <v>40</v>
      </c>
      <c r="K6" t="s">
        <v>41</v>
      </c>
      <c r="L6" t="s">
        <v>42</v>
      </c>
      <c r="M6" s="3">
        <f t="shared" si="0"/>
        <v>1000</v>
      </c>
      <c r="N6">
        <v>1000</v>
      </c>
      <c r="O6" s="1">
        <v>44705</v>
      </c>
      <c r="P6" s="2">
        <v>44705</v>
      </c>
    </row>
    <row r="7" spans="1:16" hidden="1" x14ac:dyDescent="0.45">
      <c r="A7">
        <v>6</v>
      </c>
      <c r="C7" t="s">
        <v>45</v>
      </c>
      <c r="D7" t="s">
        <v>46</v>
      </c>
      <c r="E7">
        <v>5</v>
      </c>
      <c r="F7" t="s">
        <v>17</v>
      </c>
      <c r="G7" t="s">
        <v>18</v>
      </c>
      <c r="H7" t="s">
        <v>19</v>
      </c>
      <c r="I7" t="s">
        <v>39</v>
      </c>
      <c r="J7" t="s">
        <v>47</v>
      </c>
      <c r="K7" t="s">
        <v>48</v>
      </c>
      <c r="L7" t="s">
        <v>49</v>
      </c>
      <c r="M7" s="3">
        <f t="shared" si="0"/>
        <v>1500</v>
      </c>
      <c r="N7">
        <v>1500</v>
      </c>
      <c r="O7" s="1">
        <v>44715</v>
      </c>
      <c r="P7" s="2">
        <v>44715</v>
      </c>
    </row>
    <row r="8" spans="1:16" hidden="1" x14ac:dyDescent="0.45">
      <c r="A8">
        <v>7</v>
      </c>
      <c r="C8" t="s">
        <v>51</v>
      </c>
      <c r="D8" t="s">
        <v>26</v>
      </c>
      <c r="E8">
        <v>5</v>
      </c>
      <c r="F8" t="s">
        <v>17</v>
      </c>
      <c r="G8" t="s">
        <v>18</v>
      </c>
      <c r="H8" t="s">
        <v>19</v>
      </c>
      <c r="I8" t="s">
        <v>33</v>
      </c>
      <c r="J8" t="s">
        <v>40</v>
      </c>
      <c r="K8" t="s">
        <v>29</v>
      </c>
      <c r="L8" t="s">
        <v>30</v>
      </c>
      <c r="M8" s="3">
        <f t="shared" si="0"/>
        <v>1500</v>
      </c>
      <c r="N8">
        <v>1500</v>
      </c>
      <c r="O8" s="1">
        <v>44728</v>
      </c>
      <c r="P8" s="2">
        <v>44728</v>
      </c>
    </row>
    <row r="9" spans="1:16" hidden="1" x14ac:dyDescent="0.45">
      <c r="A9">
        <v>8</v>
      </c>
      <c r="C9" t="s">
        <v>52</v>
      </c>
      <c r="D9" t="s">
        <v>26</v>
      </c>
      <c r="E9">
        <v>2</v>
      </c>
      <c r="F9" t="s">
        <v>17</v>
      </c>
      <c r="G9" t="s">
        <v>18</v>
      </c>
      <c r="H9" t="s">
        <v>27</v>
      </c>
      <c r="I9" t="s">
        <v>53</v>
      </c>
      <c r="J9" t="s">
        <v>21</v>
      </c>
      <c r="K9" t="s">
        <v>29</v>
      </c>
      <c r="L9" t="s">
        <v>30</v>
      </c>
      <c r="M9" s="3">
        <f t="shared" si="0"/>
        <v>2000</v>
      </c>
      <c r="N9">
        <v>2000</v>
      </c>
      <c r="O9" s="1">
        <v>44723</v>
      </c>
      <c r="P9" s="2">
        <v>44723</v>
      </c>
    </row>
    <row r="10" spans="1:16" hidden="1" x14ac:dyDescent="0.45">
      <c r="A10">
        <v>9</v>
      </c>
      <c r="C10" t="s">
        <v>55</v>
      </c>
      <c r="D10" t="s">
        <v>38</v>
      </c>
      <c r="E10">
        <v>3</v>
      </c>
      <c r="F10" t="s">
        <v>17</v>
      </c>
      <c r="G10" t="s">
        <v>18</v>
      </c>
      <c r="H10" t="s">
        <v>19</v>
      </c>
      <c r="I10" t="s">
        <v>33</v>
      </c>
      <c r="J10" t="s">
        <v>34</v>
      </c>
      <c r="K10" t="s">
        <v>41</v>
      </c>
      <c r="L10" t="s">
        <v>42</v>
      </c>
      <c r="M10" s="3">
        <f t="shared" si="0"/>
        <v>2000</v>
      </c>
      <c r="N10">
        <v>2000</v>
      </c>
      <c r="O10" s="1">
        <v>44705</v>
      </c>
      <c r="P10" s="2">
        <v>44705</v>
      </c>
    </row>
    <row r="11" spans="1:16" hidden="1" x14ac:dyDescent="0.45">
      <c r="A11">
        <v>10</v>
      </c>
      <c r="C11" t="s">
        <v>56</v>
      </c>
      <c r="D11" t="s">
        <v>46</v>
      </c>
      <c r="E11">
        <v>4</v>
      </c>
      <c r="F11" t="s">
        <v>17</v>
      </c>
      <c r="G11" t="s">
        <v>18</v>
      </c>
      <c r="H11" t="s">
        <v>44</v>
      </c>
      <c r="I11" t="s">
        <v>53</v>
      </c>
      <c r="J11" t="s">
        <v>57</v>
      </c>
      <c r="K11" t="s">
        <v>48</v>
      </c>
      <c r="L11" t="s">
        <v>49</v>
      </c>
      <c r="M11" s="3">
        <f t="shared" si="0"/>
        <v>2000</v>
      </c>
      <c r="N11">
        <v>2000</v>
      </c>
      <c r="O11" s="1">
        <v>44715</v>
      </c>
      <c r="P11" s="2">
        <v>44715</v>
      </c>
    </row>
    <row r="12" spans="1:16" hidden="1" x14ac:dyDescent="0.45">
      <c r="A12">
        <v>11</v>
      </c>
      <c r="C12" t="s">
        <v>58</v>
      </c>
      <c r="D12" t="s">
        <v>38</v>
      </c>
      <c r="E12">
        <v>7</v>
      </c>
      <c r="F12" t="s">
        <v>17</v>
      </c>
      <c r="G12" t="s">
        <v>18</v>
      </c>
      <c r="H12" t="s">
        <v>59</v>
      </c>
      <c r="I12" t="s">
        <v>39</v>
      </c>
      <c r="J12" t="s">
        <v>57</v>
      </c>
      <c r="K12" t="s">
        <v>41</v>
      </c>
      <c r="L12" t="s">
        <v>42</v>
      </c>
      <c r="M12" s="3">
        <f t="shared" si="0"/>
        <v>2000</v>
      </c>
      <c r="N12">
        <v>2000</v>
      </c>
      <c r="O12" s="1">
        <v>44715</v>
      </c>
      <c r="P12" s="2">
        <v>44715</v>
      </c>
    </row>
    <row r="13" spans="1:16" hidden="1" x14ac:dyDescent="0.45">
      <c r="A13">
        <v>12</v>
      </c>
      <c r="C13" t="s">
        <v>60</v>
      </c>
      <c r="D13" t="s">
        <v>32</v>
      </c>
      <c r="E13">
        <v>4</v>
      </c>
      <c r="F13" t="s">
        <v>17</v>
      </c>
      <c r="G13" t="s">
        <v>18</v>
      </c>
      <c r="H13" t="s">
        <v>44</v>
      </c>
      <c r="I13" t="s">
        <v>61</v>
      </c>
      <c r="J13" t="s">
        <v>34</v>
      </c>
      <c r="K13" t="s">
        <v>35</v>
      </c>
      <c r="L13" t="s">
        <v>36</v>
      </c>
      <c r="M13" s="3">
        <f t="shared" si="0"/>
        <v>3000</v>
      </c>
      <c r="N13">
        <v>3000</v>
      </c>
      <c r="O13" s="1">
        <v>44705</v>
      </c>
      <c r="P13" s="2">
        <v>44705</v>
      </c>
    </row>
    <row r="14" spans="1:16" hidden="1" x14ac:dyDescent="0.45">
      <c r="A14">
        <v>13</v>
      </c>
      <c r="C14" t="s">
        <v>63</v>
      </c>
      <c r="D14" t="s">
        <v>46</v>
      </c>
      <c r="E14">
        <v>3</v>
      </c>
      <c r="F14" t="s">
        <v>17</v>
      </c>
      <c r="G14" t="s">
        <v>18</v>
      </c>
      <c r="H14" t="s">
        <v>59</v>
      </c>
      <c r="I14" t="s">
        <v>64</v>
      </c>
      <c r="J14" t="s">
        <v>40</v>
      </c>
      <c r="K14" t="s">
        <v>48</v>
      </c>
      <c r="L14" t="s">
        <v>49</v>
      </c>
      <c r="M14" s="3">
        <f t="shared" si="0"/>
        <v>3000</v>
      </c>
      <c r="N14">
        <v>3000</v>
      </c>
      <c r="O14" s="1">
        <v>44715</v>
      </c>
      <c r="P14" s="2">
        <v>44715</v>
      </c>
    </row>
    <row r="15" spans="1:16" hidden="1" x14ac:dyDescent="0.45">
      <c r="A15">
        <v>14</v>
      </c>
      <c r="C15" t="s">
        <v>65</v>
      </c>
      <c r="D15" t="s">
        <v>38</v>
      </c>
      <c r="E15">
        <v>6</v>
      </c>
      <c r="F15" t="s">
        <v>17</v>
      </c>
      <c r="G15" t="s">
        <v>18</v>
      </c>
      <c r="H15" t="s">
        <v>44</v>
      </c>
      <c r="I15" t="s">
        <v>66</v>
      </c>
      <c r="J15" t="s">
        <v>40</v>
      </c>
      <c r="K15" t="s">
        <v>41</v>
      </c>
      <c r="L15" t="s">
        <v>42</v>
      </c>
      <c r="M15" s="3">
        <f t="shared" si="0"/>
        <v>3000</v>
      </c>
      <c r="N15">
        <v>3000</v>
      </c>
      <c r="O15" s="1">
        <v>44715</v>
      </c>
      <c r="P15" s="2">
        <v>44715</v>
      </c>
    </row>
    <row r="16" spans="1:16" hidden="1" x14ac:dyDescent="0.45">
      <c r="A16">
        <v>15</v>
      </c>
      <c r="C16" t="s">
        <v>67</v>
      </c>
      <c r="D16" t="s">
        <v>38</v>
      </c>
      <c r="E16">
        <v>1</v>
      </c>
      <c r="F16" t="s">
        <v>17</v>
      </c>
      <c r="G16" t="s">
        <v>18</v>
      </c>
      <c r="H16" t="s">
        <v>27</v>
      </c>
      <c r="I16" t="s">
        <v>53</v>
      </c>
      <c r="J16" t="s">
        <v>57</v>
      </c>
      <c r="K16" t="s">
        <v>41</v>
      </c>
      <c r="L16" t="s">
        <v>42</v>
      </c>
      <c r="M16" s="3">
        <f t="shared" si="0"/>
        <v>3000</v>
      </c>
      <c r="N16">
        <v>3000</v>
      </c>
      <c r="O16" s="1">
        <v>44705</v>
      </c>
      <c r="P16" s="2">
        <v>44705</v>
      </c>
    </row>
    <row r="17" spans="1:16" hidden="1" x14ac:dyDescent="0.45">
      <c r="A17">
        <v>16</v>
      </c>
      <c r="C17" t="s">
        <v>68</v>
      </c>
      <c r="D17" t="s">
        <v>32</v>
      </c>
      <c r="E17">
        <v>7</v>
      </c>
      <c r="F17" t="s">
        <v>17</v>
      </c>
      <c r="G17" t="s">
        <v>18</v>
      </c>
      <c r="H17" t="s">
        <v>19</v>
      </c>
      <c r="I17" t="s">
        <v>61</v>
      </c>
      <c r="J17" t="s">
        <v>57</v>
      </c>
      <c r="K17" t="s">
        <v>35</v>
      </c>
      <c r="L17" t="s">
        <v>36</v>
      </c>
      <c r="M17" s="3">
        <f t="shared" si="0"/>
        <v>3000</v>
      </c>
      <c r="N17">
        <v>3000</v>
      </c>
      <c r="O17" s="1">
        <v>44705</v>
      </c>
      <c r="P17" s="2">
        <v>44705</v>
      </c>
    </row>
    <row r="18" spans="1:16" hidden="1" x14ac:dyDescent="0.45">
      <c r="A18">
        <v>17</v>
      </c>
      <c r="C18" t="s">
        <v>69</v>
      </c>
      <c r="D18" t="s">
        <v>32</v>
      </c>
      <c r="E18">
        <v>2</v>
      </c>
      <c r="F18" t="s">
        <v>17</v>
      </c>
      <c r="G18" t="s">
        <v>18</v>
      </c>
      <c r="H18" t="s">
        <v>27</v>
      </c>
      <c r="I18" t="s">
        <v>28</v>
      </c>
      <c r="J18" t="s">
        <v>57</v>
      </c>
      <c r="K18" t="s">
        <v>35</v>
      </c>
      <c r="L18" t="s">
        <v>36</v>
      </c>
      <c r="M18" s="3">
        <f t="shared" si="0"/>
        <v>3000</v>
      </c>
      <c r="N18">
        <v>3000</v>
      </c>
      <c r="O18" s="1">
        <v>44705</v>
      </c>
      <c r="P18" s="2">
        <v>44705</v>
      </c>
    </row>
    <row r="19" spans="1:16" hidden="1" x14ac:dyDescent="0.45">
      <c r="A19">
        <v>18</v>
      </c>
      <c r="C19" t="s">
        <v>70</v>
      </c>
      <c r="D19" t="s">
        <v>16</v>
      </c>
      <c r="E19">
        <v>1</v>
      </c>
      <c r="F19" t="s">
        <v>17</v>
      </c>
      <c r="G19" t="s">
        <v>18</v>
      </c>
      <c r="H19" t="s">
        <v>59</v>
      </c>
      <c r="I19" t="s">
        <v>20</v>
      </c>
      <c r="J19" t="s">
        <v>71</v>
      </c>
      <c r="K19" t="s">
        <v>22</v>
      </c>
      <c r="L19" t="s">
        <v>23</v>
      </c>
      <c r="M19" s="3">
        <f t="shared" si="0"/>
        <v>3000</v>
      </c>
      <c r="N19">
        <v>3000</v>
      </c>
      <c r="O19" s="1">
        <v>44731</v>
      </c>
      <c r="P19" s="2">
        <v>44731</v>
      </c>
    </row>
    <row r="20" spans="1:16" hidden="1" x14ac:dyDescent="0.45">
      <c r="A20">
        <v>19</v>
      </c>
      <c r="C20" t="s">
        <v>72</v>
      </c>
      <c r="D20" t="s">
        <v>26</v>
      </c>
      <c r="E20">
        <v>4</v>
      </c>
      <c r="F20" t="s">
        <v>17</v>
      </c>
      <c r="G20" t="s">
        <v>18</v>
      </c>
      <c r="H20" t="s">
        <v>27</v>
      </c>
      <c r="I20" t="s">
        <v>20</v>
      </c>
      <c r="J20" t="s">
        <v>71</v>
      </c>
      <c r="K20" t="s">
        <v>29</v>
      </c>
      <c r="L20" t="s">
        <v>30</v>
      </c>
      <c r="M20" s="3">
        <f t="shared" si="0"/>
        <v>3000</v>
      </c>
      <c r="N20">
        <v>3000</v>
      </c>
      <c r="O20" s="1">
        <v>44727</v>
      </c>
      <c r="P20" s="2">
        <v>44727</v>
      </c>
    </row>
    <row r="21" spans="1:16" hidden="1" x14ac:dyDescent="0.45">
      <c r="A21">
        <v>20</v>
      </c>
      <c r="C21" t="s">
        <v>73</v>
      </c>
      <c r="D21" t="s">
        <v>46</v>
      </c>
      <c r="E21">
        <v>6</v>
      </c>
      <c r="F21" t="s">
        <v>17</v>
      </c>
      <c r="G21" t="s">
        <v>18</v>
      </c>
      <c r="H21" t="s">
        <v>27</v>
      </c>
      <c r="I21" t="s">
        <v>28</v>
      </c>
      <c r="J21" t="s">
        <v>71</v>
      </c>
      <c r="K21" t="s">
        <v>48</v>
      </c>
      <c r="L21" t="s">
        <v>49</v>
      </c>
      <c r="M21" s="3">
        <f t="shared" si="0"/>
        <v>3000</v>
      </c>
      <c r="N21">
        <v>3000</v>
      </c>
      <c r="O21" s="1">
        <v>44723</v>
      </c>
      <c r="P21" s="2">
        <v>44723</v>
      </c>
    </row>
    <row r="22" spans="1:16" hidden="1" x14ac:dyDescent="0.45">
      <c r="A22">
        <v>21</v>
      </c>
      <c r="C22" t="s">
        <v>74</v>
      </c>
      <c r="D22" t="s">
        <v>32</v>
      </c>
      <c r="E22">
        <v>3</v>
      </c>
      <c r="F22" t="s">
        <v>17</v>
      </c>
      <c r="G22" t="s">
        <v>18</v>
      </c>
      <c r="H22" t="s">
        <v>59</v>
      </c>
      <c r="I22" t="s">
        <v>28</v>
      </c>
      <c r="J22" t="s">
        <v>71</v>
      </c>
      <c r="K22" t="s">
        <v>35</v>
      </c>
      <c r="L22" t="s">
        <v>36</v>
      </c>
      <c r="M22" s="3">
        <f t="shared" si="0"/>
        <v>3000</v>
      </c>
      <c r="N22">
        <v>3000</v>
      </c>
      <c r="O22" s="1">
        <v>44705</v>
      </c>
      <c r="P22" s="2">
        <v>44705</v>
      </c>
    </row>
    <row r="23" spans="1:16" hidden="1" x14ac:dyDescent="0.45">
      <c r="A23">
        <v>22</v>
      </c>
      <c r="C23" t="s">
        <v>75</v>
      </c>
      <c r="D23" t="s">
        <v>46</v>
      </c>
      <c r="E23">
        <v>1</v>
      </c>
      <c r="F23" t="s">
        <v>17</v>
      </c>
      <c r="G23" t="s">
        <v>18</v>
      </c>
      <c r="H23" t="s">
        <v>19</v>
      </c>
      <c r="I23" t="s">
        <v>61</v>
      </c>
      <c r="J23" t="s">
        <v>47</v>
      </c>
      <c r="K23" t="s">
        <v>48</v>
      </c>
      <c r="L23" t="s">
        <v>49</v>
      </c>
      <c r="M23" s="3">
        <f t="shared" si="0"/>
        <v>5000</v>
      </c>
      <c r="N23">
        <v>5000</v>
      </c>
      <c r="O23" s="1">
        <v>44715</v>
      </c>
      <c r="P23" s="2">
        <v>44715</v>
      </c>
    </row>
    <row r="24" spans="1:16" hidden="1" x14ac:dyDescent="0.45">
      <c r="A24">
        <v>23</v>
      </c>
      <c r="C24" t="s">
        <v>77</v>
      </c>
      <c r="D24" t="s">
        <v>16</v>
      </c>
      <c r="E24">
        <v>2</v>
      </c>
      <c r="F24" t="s">
        <v>17</v>
      </c>
      <c r="G24" t="s">
        <v>18</v>
      </c>
      <c r="H24" t="s">
        <v>27</v>
      </c>
      <c r="I24" t="s">
        <v>61</v>
      </c>
      <c r="J24" t="s">
        <v>34</v>
      </c>
      <c r="K24" t="s">
        <v>22</v>
      </c>
      <c r="L24" t="s">
        <v>23</v>
      </c>
      <c r="M24" s="3">
        <f t="shared" si="0"/>
        <v>5000</v>
      </c>
      <c r="N24">
        <v>5000</v>
      </c>
      <c r="O24" s="1">
        <v>44731</v>
      </c>
      <c r="P24" s="2">
        <v>44731</v>
      </c>
    </row>
    <row r="25" spans="1:16" hidden="1" x14ac:dyDescent="0.45">
      <c r="A25">
        <v>24</v>
      </c>
      <c r="C25" t="s">
        <v>78</v>
      </c>
      <c r="D25" t="s">
        <v>38</v>
      </c>
      <c r="E25">
        <v>5</v>
      </c>
      <c r="F25" t="s">
        <v>17</v>
      </c>
      <c r="G25" t="s">
        <v>18</v>
      </c>
      <c r="H25" t="s">
        <v>19</v>
      </c>
      <c r="I25" t="s">
        <v>66</v>
      </c>
      <c r="J25" t="s">
        <v>79</v>
      </c>
      <c r="K25" t="s">
        <v>41</v>
      </c>
      <c r="L25" t="s">
        <v>42</v>
      </c>
      <c r="M25" s="3">
        <f t="shared" si="0"/>
        <v>5000</v>
      </c>
      <c r="N25">
        <v>5000</v>
      </c>
      <c r="O25" s="1">
        <v>44715</v>
      </c>
      <c r="P25" s="2">
        <v>44715</v>
      </c>
    </row>
    <row r="26" spans="1:16" hidden="1" x14ac:dyDescent="0.45">
      <c r="A26">
        <v>25</v>
      </c>
      <c r="C26" t="s">
        <v>80</v>
      </c>
      <c r="D26" t="s">
        <v>32</v>
      </c>
      <c r="E26">
        <v>1</v>
      </c>
      <c r="F26" t="s">
        <v>17</v>
      </c>
      <c r="G26" t="s">
        <v>18</v>
      </c>
      <c r="H26" t="s">
        <v>44</v>
      </c>
      <c r="I26" t="s">
        <v>28</v>
      </c>
      <c r="J26" t="s">
        <v>40</v>
      </c>
      <c r="K26" t="s">
        <v>35</v>
      </c>
      <c r="L26" t="s">
        <v>36</v>
      </c>
      <c r="M26" s="3">
        <f t="shared" si="0"/>
        <v>5000</v>
      </c>
      <c r="N26">
        <v>5000</v>
      </c>
      <c r="O26" s="1">
        <v>44704</v>
      </c>
      <c r="P26" s="2">
        <v>44704</v>
      </c>
    </row>
    <row r="27" spans="1:16" hidden="1" x14ac:dyDescent="0.45">
      <c r="A27">
        <v>26</v>
      </c>
      <c r="C27" t="s">
        <v>81</v>
      </c>
      <c r="D27" t="s">
        <v>46</v>
      </c>
      <c r="E27">
        <v>2</v>
      </c>
      <c r="F27" t="s">
        <v>17</v>
      </c>
      <c r="G27" t="s">
        <v>18</v>
      </c>
      <c r="H27" t="s">
        <v>27</v>
      </c>
      <c r="I27" t="s">
        <v>28</v>
      </c>
      <c r="J27" t="s">
        <v>34</v>
      </c>
      <c r="K27" t="s">
        <v>48</v>
      </c>
      <c r="L27" t="s">
        <v>49</v>
      </c>
      <c r="M27" s="3">
        <f t="shared" si="0"/>
        <v>10000</v>
      </c>
      <c r="N27">
        <v>10000</v>
      </c>
      <c r="O27" s="1">
        <v>44715</v>
      </c>
      <c r="P27" s="2">
        <v>44715</v>
      </c>
    </row>
    <row r="28" spans="1:16" hidden="1" x14ac:dyDescent="0.45">
      <c r="A28">
        <v>27</v>
      </c>
      <c r="C28" t="s">
        <v>83</v>
      </c>
      <c r="D28" t="s">
        <v>32</v>
      </c>
      <c r="E28">
        <v>6</v>
      </c>
      <c r="F28" t="s">
        <v>17</v>
      </c>
      <c r="G28" t="s">
        <v>18</v>
      </c>
      <c r="H28" t="s">
        <v>19</v>
      </c>
      <c r="I28" t="s">
        <v>53</v>
      </c>
      <c r="J28" t="s">
        <v>34</v>
      </c>
      <c r="K28" t="s">
        <v>35</v>
      </c>
      <c r="L28" t="s">
        <v>36</v>
      </c>
      <c r="M28" s="3">
        <f t="shared" si="0"/>
        <v>10000</v>
      </c>
      <c r="N28">
        <v>10000</v>
      </c>
      <c r="O28" s="1">
        <v>44705</v>
      </c>
      <c r="P28" s="2">
        <v>44705</v>
      </c>
    </row>
    <row r="29" spans="1:16" hidden="1" x14ac:dyDescent="0.45">
      <c r="A29">
        <v>28</v>
      </c>
      <c r="C29" t="s">
        <v>84</v>
      </c>
      <c r="D29" t="s">
        <v>26</v>
      </c>
      <c r="E29">
        <v>1</v>
      </c>
      <c r="F29" t="s">
        <v>17</v>
      </c>
      <c r="G29" t="s">
        <v>18</v>
      </c>
      <c r="H29" t="s">
        <v>59</v>
      </c>
      <c r="I29" t="s">
        <v>33</v>
      </c>
      <c r="J29" t="s">
        <v>40</v>
      </c>
      <c r="K29" t="s">
        <v>29</v>
      </c>
      <c r="L29" t="s">
        <v>30</v>
      </c>
      <c r="M29" s="3">
        <f t="shared" si="0"/>
        <v>10000</v>
      </c>
      <c r="N29">
        <v>10000</v>
      </c>
      <c r="O29" s="1">
        <v>44723</v>
      </c>
      <c r="P29" s="2">
        <v>44723</v>
      </c>
    </row>
    <row r="30" spans="1:16" hidden="1" x14ac:dyDescent="0.45">
      <c r="A30">
        <v>29</v>
      </c>
      <c r="C30" t="s">
        <v>85</v>
      </c>
      <c r="D30" t="s">
        <v>86</v>
      </c>
      <c r="E30">
        <v>1</v>
      </c>
      <c r="F30" t="s">
        <v>87</v>
      </c>
      <c r="G30" t="s">
        <v>88</v>
      </c>
      <c r="H30" t="s">
        <v>19</v>
      </c>
      <c r="I30" t="s">
        <v>61</v>
      </c>
      <c r="J30" t="s">
        <v>21</v>
      </c>
      <c r="K30" t="s">
        <v>29</v>
      </c>
      <c r="L30" t="s">
        <v>30</v>
      </c>
      <c r="M30" s="3">
        <f t="shared" si="0"/>
        <v>1000</v>
      </c>
      <c r="N30">
        <v>1000</v>
      </c>
      <c r="O30" s="1">
        <v>44684</v>
      </c>
      <c r="P30" s="2">
        <v>44684</v>
      </c>
    </row>
    <row r="31" spans="1:16" hidden="1" x14ac:dyDescent="0.45">
      <c r="A31">
        <v>30</v>
      </c>
      <c r="C31" t="s">
        <v>89</v>
      </c>
      <c r="D31" t="s">
        <v>90</v>
      </c>
      <c r="E31">
        <v>7</v>
      </c>
      <c r="F31" t="s">
        <v>87</v>
      </c>
      <c r="G31" t="s">
        <v>88</v>
      </c>
      <c r="H31" t="s">
        <v>59</v>
      </c>
      <c r="I31" t="s">
        <v>64</v>
      </c>
      <c r="J31" t="s">
        <v>71</v>
      </c>
      <c r="K31" t="s">
        <v>22</v>
      </c>
      <c r="L31" t="s">
        <v>23</v>
      </c>
      <c r="M31" s="3">
        <f t="shared" si="0"/>
        <v>1000</v>
      </c>
      <c r="N31">
        <v>1000</v>
      </c>
      <c r="O31" s="1">
        <v>44684</v>
      </c>
      <c r="P31" s="2">
        <v>44684</v>
      </c>
    </row>
    <row r="32" spans="1:16" hidden="1" x14ac:dyDescent="0.45">
      <c r="A32">
        <v>31</v>
      </c>
      <c r="C32" t="s">
        <v>91</v>
      </c>
      <c r="D32" t="s">
        <v>92</v>
      </c>
      <c r="E32">
        <v>2</v>
      </c>
      <c r="F32" t="s">
        <v>87</v>
      </c>
      <c r="G32" t="s">
        <v>88</v>
      </c>
      <c r="H32" t="s">
        <v>27</v>
      </c>
      <c r="I32" t="s">
        <v>53</v>
      </c>
      <c r="J32" t="s">
        <v>71</v>
      </c>
      <c r="K32" t="s">
        <v>48</v>
      </c>
      <c r="L32" t="s">
        <v>49</v>
      </c>
      <c r="M32" s="3">
        <f t="shared" si="0"/>
        <v>1000</v>
      </c>
      <c r="N32">
        <v>1000</v>
      </c>
      <c r="O32" s="1">
        <v>44683</v>
      </c>
      <c r="P32" s="2">
        <v>44683</v>
      </c>
    </row>
    <row r="33" spans="1:16" hidden="1" x14ac:dyDescent="0.45">
      <c r="A33">
        <v>32</v>
      </c>
      <c r="C33" t="s">
        <v>93</v>
      </c>
      <c r="D33" t="s">
        <v>92</v>
      </c>
      <c r="E33">
        <v>9</v>
      </c>
      <c r="F33" t="s">
        <v>87</v>
      </c>
      <c r="G33" t="s">
        <v>88</v>
      </c>
      <c r="H33" t="s">
        <v>59</v>
      </c>
      <c r="I33" t="s">
        <v>66</v>
      </c>
      <c r="J33" t="s">
        <v>21</v>
      </c>
      <c r="K33" t="s">
        <v>48</v>
      </c>
      <c r="L33" t="s">
        <v>49</v>
      </c>
      <c r="M33" s="3">
        <f t="shared" si="0"/>
        <v>2000</v>
      </c>
      <c r="N33">
        <v>2000</v>
      </c>
      <c r="O33" s="1">
        <v>44683</v>
      </c>
      <c r="P33" s="2">
        <v>44683</v>
      </c>
    </row>
    <row r="34" spans="1:16" hidden="1" x14ac:dyDescent="0.45">
      <c r="A34">
        <v>33</v>
      </c>
      <c r="C34" t="s">
        <v>94</v>
      </c>
      <c r="D34" t="s">
        <v>92</v>
      </c>
      <c r="E34">
        <v>5</v>
      </c>
      <c r="F34" t="s">
        <v>87</v>
      </c>
      <c r="G34" t="s">
        <v>88</v>
      </c>
      <c r="H34" t="s">
        <v>19</v>
      </c>
      <c r="I34" t="s">
        <v>20</v>
      </c>
      <c r="J34" t="s">
        <v>57</v>
      </c>
      <c r="K34" t="s">
        <v>48</v>
      </c>
      <c r="L34" t="s">
        <v>49</v>
      </c>
      <c r="M34" s="3">
        <f t="shared" si="0"/>
        <v>2000</v>
      </c>
      <c r="N34">
        <v>2000</v>
      </c>
      <c r="O34" s="1">
        <v>44683</v>
      </c>
      <c r="P34" s="2">
        <v>44683</v>
      </c>
    </row>
    <row r="35" spans="1:16" hidden="1" x14ac:dyDescent="0.45">
      <c r="A35">
        <v>34</v>
      </c>
      <c r="C35" t="s">
        <v>95</v>
      </c>
      <c r="D35" t="s">
        <v>92</v>
      </c>
      <c r="E35">
        <v>4</v>
      </c>
      <c r="F35" t="s">
        <v>87</v>
      </c>
      <c r="G35" t="s">
        <v>88</v>
      </c>
      <c r="H35" t="s">
        <v>19</v>
      </c>
      <c r="I35" t="s">
        <v>20</v>
      </c>
      <c r="J35" t="s">
        <v>57</v>
      </c>
      <c r="K35" t="s">
        <v>48</v>
      </c>
      <c r="L35" t="s">
        <v>49</v>
      </c>
      <c r="M35" s="3">
        <f t="shared" si="0"/>
        <v>2000</v>
      </c>
      <c r="N35">
        <v>2000</v>
      </c>
      <c r="O35" s="1">
        <v>44683</v>
      </c>
      <c r="P35" s="2">
        <v>44683</v>
      </c>
    </row>
    <row r="36" spans="1:16" hidden="1" x14ac:dyDescent="0.45">
      <c r="A36">
        <v>35</v>
      </c>
      <c r="C36" t="s">
        <v>96</v>
      </c>
      <c r="D36" t="s">
        <v>97</v>
      </c>
      <c r="E36">
        <v>2</v>
      </c>
      <c r="F36" t="s">
        <v>87</v>
      </c>
      <c r="G36" t="s">
        <v>88</v>
      </c>
      <c r="H36" t="s">
        <v>44</v>
      </c>
      <c r="I36" t="s">
        <v>66</v>
      </c>
      <c r="J36" t="s">
        <v>47</v>
      </c>
      <c r="K36" t="s">
        <v>35</v>
      </c>
      <c r="L36" t="s">
        <v>36</v>
      </c>
      <c r="M36" s="3">
        <f t="shared" si="0"/>
        <v>3000</v>
      </c>
      <c r="N36">
        <v>3000</v>
      </c>
      <c r="O36" s="1">
        <v>44682</v>
      </c>
      <c r="P36" s="2">
        <v>44682</v>
      </c>
    </row>
    <row r="37" spans="1:16" hidden="1" x14ac:dyDescent="0.45">
      <c r="A37">
        <v>36</v>
      </c>
      <c r="C37" t="s">
        <v>98</v>
      </c>
      <c r="D37" t="s">
        <v>92</v>
      </c>
      <c r="E37">
        <v>7</v>
      </c>
      <c r="F37" t="s">
        <v>87</v>
      </c>
      <c r="G37" t="s">
        <v>88</v>
      </c>
      <c r="H37" t="s">
        <v>19</v>
      </c>
      <c r="I37" t="s">
        <v>61</v>
      </c>
      <c r="J37" t="s">
        <v>21</v>
      </c>
      <c r="K37" t="s">
        <v>48</v>
      </c>
      <c r="L37" t="s">
        <v>49</v>
      </c>
      <c r="M37" s="3">
        <f t="shared" si="0"/>
        <v>3000</v>
      </c>
      <c r="N37">
        <v>3000</v>
      </c>
      <c r="O37" s="1">
        <v>44683</v>
      </c>
      <c r="P37" s="2">
        <v>44683</v>
      </c>
    </row>
    <row r="38" spans="1:16" hidden="1" x14ac:dyDescent="0.45">
      <c r="A38">
        <v>37</v>
      </c>
      <c r="C38" t="s">
        <v>99</v>
      </c>
      <c r="D38" t="s">
        <v>97</v>
      </c>
      <c r="E38">
        <v>4</v>
      </c>
      <c r="F38" t="s">
        <v>87</v>
      </c>
      <c r="G38" t="s">
        <v>88</v>
      </c>
      <c r="H38" t="s">
        <v>27</v>
      </c>
      <c r="I38" t="s">
        <v>53</v>
      </c>
      <c r="J38" t="s">
        <v>21</v>
      </c>
      <c r="K38" t="s">
        <v>35</v>
      </c>
      <c r="L38" t="s">
        <v>36</v>
      </c>
      <c r="M38" s="3">
        <f t="shared" si="0"/>
        <v>3000</v>
      </c>
      <c r="N38">
        <v>3000</v>
      </c>
      <c r="O38" s="1">
        <v>44682</v>
      </c>
      <c r="P38" s="2">
        <v>44682</v>
      </c>
    </row>
    <row r="39" spans="1:16" hidden="1" x14ac:dyDescent="0.45">
      <c r="A39">
        <v>38</v>
      </c>
      <c r="C39" t="s">
        <v>100</v>
      </c>
      <c r="D39" t="s">
        <v>90</v>
      </c>
      <c r="E39">
        <v>1</v>
      </c>
      <c r="F39" t="s">
        <v>87</v>
      </c>
      <c r="G39" t="s">
        <v>88</v>
      </c>
      <c r="H39" t="s">
        <v>19</v>
      </c>
      <c r="I39" t="s">
        <v>53</v>
      </c>
      <c r="J39" t="s">
        <v>34</v>
      </c>
      <c r="K39" t="s">
        <v>22</v>
      </c>
      <c r="L39" t="s">
        <v>23</v>
      </c>
      <c r="M39" s="3">
        <f t="shared" si="0"/>
        <v>3000</v>
      </c>
      <c r="N39">
        <v>3000</v>
      </c>
      <c r="O39" s="1">
        <v>44684</v>
      </c>
      <c r="P39" s="2">
        <v>44684</v>
      </c>
    </row>
    <row r="40" spans="1:16" hidden="1" x14ac:dyDescent="0.45">
      <c r="A40">
        <v>39</v>
      </c>
      <c r="C40" t="s">
        <v>101</v>
      </c>
      <c r="D40" t="s">
        <v>102</v>
      </c>
      <c r="E40">
        <v>1</v>
      </c>
      <c r="F40" t="s">
        <v>87</v>
      </c>
      <c r="G40" t="s">
        <v>88</v>
      </c>
      <c r="H40" t="s">
        <v>27</v>
      </c>
      <c r="I40" t="s">
        <v>33</v>
      </c>
      <c r="J40" t="s">
        <v>40</v>
      </c>
      <c r="K40" t="s">
        <v>41</v>
      </c>
      <c r="L40" t="s">
        <v>42</v>
      </c>
      <c r="M40" s="3">
        <f t="shared" si="0"/>
        <v>3000</v>
      </c>
      <c r="N40">
        <v>3000</v>
      </c>
      <c r="O40" s="1">
        <v>44682</v>
      </c>
      <c r="P40" s="2">
        <v>44682</v>
      </c>
    </row>
    <row r="41" spans="1:16" hidden="1" x14ac:dyDescent="0.45">
      <c r="A41">
        <v>40</v>
      </c>
      <c r="C41" t="s">
        <v>103</v>
      </c>
      <c r="D41" t="s">
        <v>90</v>
      </c>
      <c r="E41">
        <v>6</v>
      </c>
      <c r="F41" t="s">
        <v>87</v>
      </c>
      <c r="G41" t="s">
        <v>88</v>
      </c>
      <c r="H41" t="s">
        <v>44</v>
      </c>
      <c r="I41" t="s">
        <v>64</v>
      </c>
      <c r="J41" t="s">
        <v>47</v>
      </c>
      <c r="K41" t="s">
        <v>22</v>
      </c>
      <c r="L41" t="s">
        <v>23</v>
      </c>
      <c r="M41" s="3">
        <f t="shared" si="0"/>
        <v>5000</v>
      </c>
      <c r="N41">
        <v>5000</v>
      </c>
      <c r="O41" s="1">
        <v>44684</v>
      </c>
      <c r="P41" s="2">
        <v>44684</v>
      </c>
    </row>
    <row r="42" spans="1:16" hidden="1" x14ac:dyDescent="0.45">
      <c r="A42">
        <v>41</v>
      </c>
      <c r="C42" t="s">
        <v>104</v>
      </c>
      <c r="D42" t="s">
        <v>92</v>
      </c>
      <c r="E42">
        <v>8</v>
      </c>
      <c r="F42" t="s">
        <v>87</v>
      </c>
      <c r="G42" t="s">
        <v>88</v>
      </c>
      <c r="H42" t="s">
        <v>44</v>
      </c>
      <c r="I42" t="s">
        <v>20</v>
      </c>
      <c r="J42" t="s">
        <v>34</v>
      </c>
      <c r="K42" t="s">
        <v>48</v>
      </c>
      <c r="L42" t="s">
        <v>49</v>
      </c>
      <c r="M42" s="3">
        <f t="shared" si="0"/>
        <v>5000</v>
      </c>
      <c r="N42">
        <v>5000</v>
      </c>
      <c r="O42" s="1">
        <v>44683</v>
      </c>
      <c r="P42" s="2">
        <v>44683</v>
      </c>
    </row>
    <row r="43" spans="1:16" hidden="1" x14ac:dyDescent="0.45">
      <c r="A43">
        <v>42</v>
      </c>
      <c r="C43" t="s">
        <v>105</v>
      </c>
      <c r="D43" t="s">
        <v>92</v>
      </c>
      <c r="E43">
        <v>6</v>
      </c>
      <c r="F43" t="s">
        <v>87</v>
      </c>
      <c r="G43" t="s">
        <v>88</v>
      </c>
      <c r="H43" t="s">
        <v>19</v>
      </c>
      <c r="I43" t="s">
        <v>28</v>
      </c>
      <c r="J43" t="s">
        <v>40</v>
      </c>
      <c r="K43" t="s">
        <v>48</v>
      </c>
      <c r="L43" t="s">
        <v>49</v>
      </c>
      <c r="M43" s="3">
        <f t="shared" si="0"/>
        <v>5000</v>
      </c>
      <c r="N43">
        <v>5000</v>
      </c>
      <c r="O43" s="1">
        <v>44683</v>
      </c>
      <c r="P43" s="2">
        <v>44683</v>
      </c>
    </row>
    <row r="44" spans="1:16" hidden="1" x14ac:dyDescent="0.45">
      <c r="A44">
        <v>43</v>
      </c>
      <c r="C44" t="s">
        <v>106</v>
      </c>
      <c r="D44" t="s">
        <v>90</v>
      </c>
      <c r="E44">
        <v>3</v>
      </c>
      <c r="F44" t="s">
        <v>87</v>
      </c>
      <c r="G44" t="s">
        <v>88</v>
      </c>
      <c r="H44" t="s">
        <v>44</v>
      </c>
      <c r="I44" t="s">
        <v>33</v>
      </c>
      <c r="J44" t="s">
        <v>71</v>
      </c>
      <c r="K44" t="s">
        <v>22</v>
      </c>
      <c r="L44" t="s">
        <v>23</v>
      </c>
      <c r="M44" s="3">
        <f t="shared" si="0"/>
        <v>5000</v>
      </c>
      <c r="N44">
        <v>5000</v>
      </c>
      <c r="O44" s="1">
        <v>44684</v>
      </c>
      <c r="P44" s="2">
        <v>44684</v>
      </c>
    </row>
    <row r="45" spans="1:16" hidden="1" x14ac:dyDescent="0.45">
      <c r="A45">
        <v>44</v>
      </c>
      <c r="C45" t="s">
        <v>107</v>
      </c>
      <c r="D45" t="s">
        <v>90</v>
      </c>
      <c r="E45">
        <v>4</v>
      </c>
      <c r="F45" t="s">
        <v>87</v>
      </c>
      <c r="G45" t="s">
        <v>88</v>
      </c>
      <c r="H45" t="s">
        <v>44</v>
      </c>
      <c r="I45" t="s">
        <v>53</v>
      </c>
      <c r="J45" t="s">
        <v>21</v>
      </c>
      <c r="K45" t="s">
        <v>22</v>
      </c>
      <c r="L45" t="s">
        <v>23</v>
      </c>
      <c r="M45" s="3">
        <f t="shared" si="0"/>
        <v>10000</v>
      </c>
      <c r="N45">
        <v>10000</v>
      </c>
      <c r="O45" s="1">
        <v>44684</v>
      </c>
      <c r="P45" s="2">
        <v>44684</v>
      </c>
    </row>
    <row r="46" spans="1:16" hidden="1" x14ac:dyDescent="0.45">
      <c r="A46">
        <v>45</v>
      </c>
      <c r="C46" t="s">
        <v>108</v>
      </c>
      <c r="D46" t="s">
        <v>92</v>
      </c>
      <c r="E46">
        <v>1</v>
      </c>
      <c r="F46" t="s">
        <v>87</v>
      </c>
      <c r="G46" t="s">
        <v>88</v>
      </c>
      <c r="H46" t="s">
        <v>59</v>
      </c>
      <c r="I46" t="s">
        <v>33</v>
      </c>
      <c r="J46" t="s">
        <v>21</v>
      </c>
      <c r="K46" t="s">
        <v>48</v>
      </c>
      <c r="L46" t="s">
        <v>49</v>
      </c>
      <c r="M46" s="3">
        <f t="shared" si="0"/>
        <v>10000</v>
      </c>
      <c r="N46">
        <v>10000</v>
      </c>
      <c r="O46" s="1">
        <v>44682</v>
      </c>
      <c r="P46" s="2">
        <v>44682</v>
      </c>
    </row>
    <row r="47" spans="1:16" hidden="1" x14ac:dyDescent="0.45">
      <c r="A47">
        <v>46</v>
      </c>
      <c r="C47" t="s">
        <v>109</v>
      </c>
      <c r="D47" t="s">
        <v>97</v>
      </c>
      <c r="E47">
        <v>3</v>
      </c>
      <c r="F47" t="s">
        <v>87</v>
      </c>
      <c r="G47" t="s">
        <v>88</v>
      </c>
      <c r="H47" t="s">
        <v>59</v>
      </c>
      <c r="I47" t="s">
        <v>20</v>
      </c>
      <c r="J47" t="s">
        <v>21</v>
      </c>
      <c r="K47" t="s">
        <v>35</v>
      </c>
      <c r="L47" t="s">
        <v>36</v>
      </c>
      <c r="M47" s="3">
        <f t="shared" si="0"/>
        <v>10000</v>
      </c>
      <c r="N47">
        <v>10000</v>
      </c>
      <c r="O47" s="1">
        <v>44682</v>
      </c>
      <c r="P47" s="2">
        <v>44682</v>
      </c>
    </row>
    <row r="48" spans="1:16" hidden="1" x14ac:dyDescent="0.45">
      <c r="A48">
        <v>47</v>
      </c>
      <c r="C48" t="s">
        <v>110</v>
      </c>
      <c r="D48" t="s">
        <v>97</v>
      </c>
      <c r="E48">
        <v>1</v>
      </c>
      <c r="F48" t="s">
        <v>87</v>
      </c>
      <c r="G48" t="s">
        <v>88</v>
      </c>
      <c r="H48" t="s">
        <v>44</v>
      </c>
      <c r="I48" t="s">
        <v>53</v>
      </c>
      <c r="J48" t="s">
        <v>21</v>
      </c>
      <c r="K48" t="s">
        <v>35</v>
      </c>
      <c r="L48" t="s">
        <v>36</v>
      </c>
      <c r="M48" s="3">
        <f t="shared" si="0"/>
        <v>10000</v>
      </c>
      <c r="N48">
        <v>10000</v>
      </c>
      <c r="O48" s="1">
        <v>44682</v>
      </c>
      <c r="P48" s="2">
        <v>44682</v>
      </c>
    </row>
    <row r="49" spans="1:16" hidden="1" x14ac:dyDescent="0.45">
      <c r="A49">
        <v>48</v>
      </c>
      <c r="C49" t="s">
        <v>111</v>
      </c>
      <c r="D49" t="s">
        <v>90</v>
      </c>
      <c r="E49">
        <v>5</v>
      </c>
      <c r="F49" t="s">
        <v>87</v>
      </c>
      <c r="G49" t="s">
        <v>88</v>
      </c>
      <c r="H49" t="s">
        <v>59</v>
      </c>
      <c r="I49" t="s">
        <v>61</v>
      </c>
      <c r="J49" t="s">
        <v>79</v>
      </c>
      <c r="K49" t="s">
        <v>22</v>
      </c>
      <c r="L49" t="s">
        <v>23</v>
      </c>
      <c r="M49" s="3">
        <f t="shared" si="0"/>
        <v>10000</v>
      </c>
      <c r="N49">
        <v>10000</v>
      </c>
      <c r="O49" s="1">
        <v>44684</v>
      </c>
      <c r="P49" s="2">
        <v>44684</v>
      </c>
    </row>
    <row r="50" spans="1:16" hidden="1" x14ac:dyDescent="0.45">
      <c r="A50">
        <v>49</v>
      </c>
      <c r="C50" t="s">
        <v>112</v>
      </c>
      <c r="D50" t="s">
        <v>92</v>
      </c>
      <c r="E50">
        <v>3</v>
      </c>
      <c r="F50" t="s">
        <v>87</v>
      </c>
      <c r="G50" t="s">
        <v>88</v>
      </c>
      <c r="H50" t="s">
        <v>27</v>
      </c>
      <c r="I50" t="s">
        <v>53</v>
      </c>
      <c r="J50" t="s">
        <v>40</v>
      </c>
      <c r="K50" t="s">
        <v>48</v>
      </c>
      <c r="L50" t="s">
        <v>49</v>
      </c>
      <c r="M50" s="3">
        <f t="shared" si="0"/>
        <v>10000</v>
      </c>
      <c r="N50">
        <v>10000</v>
      </c>
      <c r="O50" s="1">
        <v>44683</v>
      </c>
      <c r="P50" s="2">
        <v>44683</v>
      </c>
    </row>
    <row r="51" spans="1:16" hidden="1" x14ac:dyDescent="0.45">
      <c r="A51">
        <v>50</v>
      </c>
      <c r="C51" t="s">
        <v>113</v>
      </c>
      <c r="D51" t="s">
        <v>90</v>
      </c>
      <c r="E51">
        <v>2</v>
      </c>
      <c r="F51" t="s">
        <v>87</v>
      </c>
      <c r="G51" t="s">
        <v>88</v>
      </c>
      <c r="H51" t="s">
        <v>19</v>
      </c>
      <c r="I51" t="s">
        <v>20</v>
      </c>
      <c r="J51" t="s">
        <v>57</v>
      </c>
      <c r="K51" t="s">
        <v>22</v>
      </c>
      <c r="L51" t="s">
        <v>23</v>
      </c>
      <c r="M51" s="3">
        <f t="shared" si="0"/>
        <v>10000</v>
      </c>
      <c r="N51">
        <v>10000</v>
      </c>
      <c r="O51" s="1">
        <v>44684</v>
      </c>
      <c r="P51" s="2">
        <v>44684</v>
      </c>
    </row>
    <row r="52" spans="1:16" hidden="1" x14ac:dyDescent="0.45">
      <c r="A52">
        <v>51</v>
      </c>
      <c r="C52" t="s">
        <v>114</v>
      </c>
      <c r="D52" t="s">
        <v>92</v>
      </c>
      <c r="E52">
        <v>10</v>
      </c>
      <c r="F52" t="s">
        <v>87</v>
      </c>
      <c r="G52" t="s">
        <v>88</v>
      </c>
      <c r="H52" t="s">
        <v>44</v>
      </c>
      <c r="I52" t="s">
        <v>28</v>
      </c>
      <c r="J52" t="s">
        <v>57</v>
      </c>
      <c r="K52" t="s">
        <v>48</v>
      </c>
      <c r="L52" t="s">
        <v>49</v>
      </c>
      <c r="M52" s="3">
        <f t="shared" si="0"/>
        <v>10000</v>
      </c>
      <c r="N52">
        <v>10000</v>
      </c>
      <c r="O52" s="1">
        <v>44684</v>
      </c>
      <c r="P52" s="2">
        <v>44684</v>
      </c>
    </row>
    <row r="53" spans="1:16" hidden="1" x14ac:dyDescent="0.45">
      <c r="A53">
        <v>52</v>
      </c>
      <c r="C53" t="s">
        <v>115</v>
      </c>
      <c r="D53" t="s">
        <v>116</v>
      </c>
      <c r="E53">
        <v>4</v>
      </c>
      <c r="F53" t="s">
        <v>117</v>
      </c>
      <c r="G53" t="s">
        <v>118</v>
      </c>
      <c r="H53" t="s">
        <v>27</v>
      </c>
      <c r="I53" t="s">
        <v>64</v>
      </c>
      <c r="J53" t="s">
        <v>47</v>
      </c>
      <c r="K53" t="s">
        <v>22</v>
      </c>
      <c r="L53" t="s">
        <v>23</v>
      </c>
      <c r="M53" s="3">
        <f t="shared" si="0"/>
        <v>1000</v>
      </c>
      <c r="N53">
        <v>1000</v>
      </c>
      <c r="O53" s="1">
        <v>44691</v>
      </c>
      <c r="P53" s="2">
        <v>44691</v>
      </c>
    </row>
    <row r="54" spans="1:16" hidden="1" x14ac:dyDescent="0.45">
      <c r="A54">
        <v>53</v>
      </c>
      <c r="C54" t="s">
        <v>119</v>
      </c>
      <c r="D54" t="s">
        <v>120</v>
      </c>
      <c r="E54">
        <v>5</v>
      </c>
      <c r="F54" t="s">
        <v>117</v>
      </c>
      <c r="G54" t="s">
        <v>118</v>
      </c>
      <c r="H54" t="s">
        <v>44</v>
      </c>
      <c r="I54" t="s">
        <v>20</v>
      </c>
      <c r="J54" t="s">
        <v>71</v>
      </c>
      <c r="K54" t="s">
        <v>29</v>
      </c>
      <c r="L54" t="s">
        <v>30</v>
      </c>
      <c r="M54" s="3">
        <f t="shared" si="0"/>
        <v>1000</v>
      </c>
      <c r="N54">
        <v>1000</v>
      </c>
      <c r="O54" s="1">
        <v>44691</v>
      </c>
      <c r="P54" s="2">
        <v>44691</v>
      </c>
    </row>
    <row r="55" spans="1:16" hidden="1" x14ac:dyDescent="0.45">
      <c r="A55">
        <v>54</v>
      </c>
      <c r="C55" t="s">
        <v>121</v>
      </c>
      <c r="D55" t="s">
        <v>120</v>
      </c>
      <c r="E55">
        <v>2</v>
      </c>
      <c r="F55" t="s">
        <v>117</v>
      </c>
      <c r="G55" t="s">
        <v>118</v>
      </c>
      <c r="H55" t="s">
        <v>27</v>
      </c>
      <c r="I55" t="s">
        <v>61</v>
      </c>
      <c r="J55" t="s">
        <v>71</v>
      </c>
      <c r="K55" t="s">
        <v>29</v>
      </c>
      <c r="L55" t="s">
        <v>30</v>
      </c>
      <c r="M55" s="3">
        <f t="shared" si="0"/>
        <v>1000</v>
      </c>
      <c r="N55">
        <v>1000</v>
      </c>
      <c r="O55" s="1">
        <v>44686</v>
      </c>
      <c r="P55" s="2">
        <v>44686</v>
      </c>
    </row>
    <row r="56" spans="1:16" hidden="1" x14ac:dyDescent="0.45">
      <c r="A56">
        <v>55</v>
      </c>
      <c r="C56" t="s">
        <v>122</v>
      </c>
      <c r="D56" t="s">
        <v>123</v>
      </c>
      <c r="E56">
        <v>1</v>
      </c>
      <c r="F56" t="s">
        <v>117</v>
      </c>
      <c r="G56" t="s">
        <v>118</v>
      </c>
      <c r="H56" t="s">
        <v>44</v>
      </c>
      <c r="I56" t="s">
        <v>61</v>
      </c>
      <c r="J56" t="s">
        <v>71</v>
      </c>
      <c r="K56" t="s">
        <v>35</v>
      </c>
      <c r="L56" t="s">
        <v>36</v>
      </c>
      <c r="M56" s="3">
        <f t="shared" si="0"/>
        <v>1000</v>
      </c>
      <c r="N56">
        <v>1000</v>
      </c>
      <c r="O56" s="1">
        <v>44684</v>
      </c>
      <c r="P56" s="2">
        <v>44684</v>
      </c>
    </row>
    <row r="57" spans="1:16" hidden="1" x14ac:dyDescent="0.45">
      <c r="A57">
        <v>56</v>
      </c>
      <c r="C57" t="s">
        <v>124</v>
      </c>
      <c r="D57" t="s">
        <v>123</v>
      </c>
      <c r="E57">
        <v>3</v>
      </c>
      <c r="F57" t="s">
        <v>117</v>
      </c>
      <c r="G57" t="s">
        <v>118</v>
      </c>
      <c r="H57" t="s">
        <v>59</v>
      </c>
      <c r="I57" t="s">
        <v>64</v>
      </c>
      <c r="J57" t="s">
        <v>47</v>
      </c>
      <c r="K57" t="s">
        <v>35</v>
      </c>
      <c r="L57" t="s">
        <v>36</v>
      </c>
      <c r="M57" s="3">
        <f t="shared" si="0"/>
        <v>1500</v>
      </c>
      <c r="N57">
        <v>1500</v>
      </c>
      <c r="O57" s="1">
        <v>44686</v>
      </c>
      <c r="P57" s="2">
        <v>44686</v>
      </c>
    </row>
    <row r="58" spans="1:16" hidden="1" x14ac:dyDescent="0.45">
      <c r="A58">
        <v>57</v>
      </c>
      <c r="C58" t="s">
        <v>125</v>
      </c>
      <c r="D58" t="s">
        <v>126</v>
      </c>
      <c r="E58">
        <v>1</v>
      </c>
      <c r="F58" t="s">
        <v>117</v>
      </c>
      <c r="G58" t="s">
        <v>118</v>
      </c>
      <c r="H58" t="s">
        <v>59</v>
      </c>
      <c r="I58" t="s">
        <v>53</v>
      </c>
      <c r="J58" t="s">
        <v>34</v>
      </c>
      <c r="K58" t="s">
        <v>41</v>
      </c>
      <c r="L58" t="s">
        <v>42</v>
      </c>
      <c r="M58" s="3">
        <f t="shared" si="0"/>
        <v>1500</v>
      </c>
      <c r="N58">
        <v>1500</v>
      </c>
      <c r="O58" s="1">
        <v>44686</v>
      </c>
      <c r="P58" s="2">
        <v>44686</v>
      </c>
    </row>
    <row r="59" spans="1:16" hidden="1" x14ac:dyDescent="0.45">
      <c r="A59">
        <v>58</v>
      </c>
      <c r="C59" t="s">
        <v>127</v>
      </c>
      <c r="D59" t="s">
        <v>116</v>
      </c>
      <c r="E59">
        <v>3</v>
      </c>
      <c r="F59" t="s">
        <v>117</v>
      </c>
      <c r="G59" t="s">
        <v>118</v>
      </c>
      <c r="H59" t="s">
        <v>19</v>
      </c>
      <c r="I59" t="s">
        <v>53</v>
      </c>
      <c r="J59" t="s">
        <v>40</v>
      </c>
      <c r="K59" t="s">
        <v>22</v>
      </c>
      <c r="L59" t="s">
        <v>23</v>
      </c>
      <c r="M59" s="3">
        <f t="shared" si="0"/>
        <v>1500</v>
      </c>
      <c r="N59">
        <v>1500</v>
      </c>
      <c r="O59" s="1">
        <v>44691</v>
      </c>
      <c r="P59" s="2">
        <v>44691</v>
      </c>
    </row>
    <row r="60" spans="1:16" x14ac:dyDescent="0.45">
      <c r="A60">
        <v>59</v>
      </c>
      <c r="C60" t="s">
        <v>128</v>
      </c>
      <c r="D60" t="s">
        <v>120</v>
      </c>
      <c r="E60">
        <v>3</v>
      </c>
      <c r="F60" t="s">
        <v>117</v>
      </c>
      <c r="G60" t="s">
        <v>118</v>
      </c>
      <c r="H60" t="s">
        <v>19</v>
      </c>
      <c r="I60" t="s">
        <v>39</v>
      </c>
      <c r="J60" t="s">
        <v>57</v>
      </c>
      <c r="K60" t="s">
        <v>29</v>
      </c>
      <c r="L60" t="s">
        <v>30</v>
      </c>
      <c r="M60" s="3">
        <f t="shared" si="0"/>
        <v>1500</v>
      </c>
      <c r="N60">
        <v>1500</v>
      </c>
      <c r="O60" s="1">
        <v>44686</v>
      </c>
      <c r="P60" s="2">
        <v>44686</v>
      </c>
    </row>
    <row r="61" spans="1:16" hidden="1" x14ac:dyDescent="0.45">
      <c r="A61">
        <v>60</v>
      </c>
      <c r="C61" t="s">
        <v>129</v>
      </c>
      <c r="D61" t="s">
        <v>130</v>
      </c>
      <c r="E61">
        <v>2</v>
      </c>
      <c r="F61" t="s">
        <v>117</v>
      </c>
      <c r="G61" t="s">
        <v>118</v>
      </c>
      <c r="H61" t="s">
        <v>27</v>
      </c>
      <c r="I61" t="s">
        <v>28</v>
      </c>
      <c r="J61" t="s">
        <v>21</v>
      </c>
      <c r="K61" t="s">
        <v>48</v>
      </c>
      <c r="L61" t="s">
        <v>49</v>
      </c>
      <c r="M61" s="3">
        <f t="shared" si="0"/>
        <v>2000</v>
      </c>
      <c r="N61">
        <v>2000</v>
      </c>
      <c r="O61" s="1">
        <v>44686</v>
      </c>
      <c r="P61" s="2">
        <v>44686</v>
      </c>
    </row>
    <row r="62" spans="1:16" hidden="1" x14ac:dyDescent="0.45">
      <c r="A62">
        <v>61</v>
      </c>
      <c r="C62" t="s">
        <v>131</v>
      </c>
      <c r="D62" t="s">
        <v>130</v>
      </c>
      <c r="E62">
        <v>5</v>
      </c>
      <c r="F62" t="s">
        <v>117</v>
      </c>
      <c r="G62" t="s">
        <v>118</v>
      </c>
      <c r="H62" t="s">
        <v>27</v>
      </c>
      <c r="I62" t="s">
        <v>53</v>
      </c>
      <c r="J62" t="s">
        <v>79</v>
      </c>
      <c r="K62" t="s">
        <v>48</v>
      </c>
      <c r="L62" t="s">
        <v>49</v>
      </c>
      <c r="M62" s="3">
        <f t="shared" si="0"/>
        <v>2000</v>
      </c>
      <c r="N62">
        <v>2000</v>
      </c>
      <c r="O62" s="1">
        <v>44686</v>
      </c>
      <c r="P62" s="2">
        <v>44686</v>
      </c>
    </row>
    <row r="63" spans="1:16" hidden="1" x14ac:dyDescent="0.45">
      <c r="A63">
        <v>62</v>
      </c>
      <c r="C63" t="s">
        <v>132</v>
      </c>
      <c r="D63" t="s">
        <v>130</v>
      </c>
      <c r="E63">
        <v>1</v>
      </c>
      <c r="F63" t="s">
        <v>117</v>
      </c>
      <c r="G63" t="s">
        <v>118</v>
      </c>
      <c r="H63" t="s">
        <v>44</v>
      </c>
      <c r="I63" t="s">
        <v>53</v>
      </c>
      <c r="J63" t="s">
        <v>71</v>
      </c>
      <c r="K63" t="s">
        <v>48</v>
      </c>
      <c r="L63" t="s">
        <v>49</v>
      </c>
      <c r="M63" s="3">
        <f t="shared" si="0"/>
        <v>2000</v>
      </c>
      <c r="N63">
        <v>2000</v>
      </c>
      <c r="O63" s="1">
        <v>44686</v>
      </c>
      <c r="P63" s="2">
        <v>44686</v>
      </c>
    </row>
    <row r="64" spans="1:16" hidden="1" x14ac:dyDescent="0.45">
      <c r="A64">
        <v>63</v>
      </c>
      <c r="C64" t="s">
        <v>133</v>
      </c>
      <c r="D64" t="s">
        <v>130</v>
      </c>
      <c r="E64">
        <v>4</v>
      </c>
      <c r="F64" t="s">
        <v>117</v>
      </c>
      <c r="G64" t="s">
        <v>118</v>
      </c>
      <c r="H64" t="s">
        <v>27</v>
      </c>
      <c r="I64" t="s">
        <v>39</v>
      </c>
      <c r="J64" t="s">
        <v>47</v>
      </c>
      <c r="K64" t="s">
        <v>48</v>
      </c>
      <c r="L64" t="s">
        <v>49</v>
      </c>
      <c r="M64" s="3">
        <f t="shared" si="0"/>
        <v>3000</v>
      </c>
      <c r="N64">
        <v>3000</v>
      </c>
      <c r="O64" s="1">
        <v>44686</v>
      </c>
      <c r="P64" s="2">
        <v>44686</v>
      </c>
    </row>
    <row r="65" spans="1:16" hidden="1" x14ac:dyDescent="0.45">
      <c r="A65">
        <v>64</v>
      </c>
      <c r="C65" t="s">
        <v>134</v>
      </c>
      <c r="D65" t="s">
        <v>116</v>
      </c>
      <c r="E65">
        <v>5</v>
      </c>
      <c r="F65" t="s">
        <v>117</v>
      </c>
      <c r="G65" t="s">
        <v>118</v>
      </c>
      <c r="H65" t="s">
        <v>59</v>
      </c>
      <c r="I65" t="s">
        <v>64</v>
      </c>
      <c r="J65" t="s">
        <v>21</v>
      </c>
      <c r="K65" t="s">
        <v>22</v>
      </c>
      <c r="L65" t="s">
        <v>23</v>
      </c>
      <c r="M65" s="3">
        <f t="shared" si="0"/>
        <v>3000</v>
      </c>
      <c r="N65">
        <v>3000</v>
      </c>
      <c r="O65" s="1">
        <v>44691</v>
      </c>
      <c r="P65" s="2">
        <v>44691</v>
      </c>
    </row>
    <row r="66" spans="1:16" hidden="1" x14ac:dyDescent="0.45">
      <c r="A66">
        <v>65</v>
      </c>
      <c r="C66" t="s">
        <v>135</v>
      </c>
      <c r="D66" t="s">
        <v>120</v>
      </c>
      <c r="E66">
        <v>7</v>
      </c>
      <c r="F66" t="s">
        <v>117</v>
      </c>
      <c r="G66" t="s">
        <v>118</v>
      </c>
      <c r="H66" t="s">
        <v>44</v>
      </c>
      <c r="I66" t="s">
        <v>53</v>
      </c>
      <c r="J66" t="s">
        <v>21</v>
      </c>
      <c r="K66" t="s">
        <v>29</v>
      </c>
      <c r="L66" t="s">
        <v>30</v>
      </c>
      <c r="M66" s="3">
        <f t="shared" si="0"/>
        <v>3000</v>
      </c>
      <c r="N66">
        <v>3000</v>
      </c>
      <c r="O66" s="1">
        <v>44691</v>
      </c>
      <c r="P66" s="2">
        <v>44691</v>
      </c>
    </row>
    <row r="67" spans="1:16" hidden="1" x14ac:dyDescent="0.45">
      <c r="A67">
        <v>66</v>
      </c>
      <c r="C67" t="s">
        <v>136</v>
      </c>
      <c r="D67" t="s">
        <v>126</v>
      </c>
      <c r="E67">
        <v>2</v>
      </c>
      <c r="F67" t="s">
        <v>117</v>
      </c>
      <c r="G67" t="s">
        <v>118</v>
      </c>
      <c r="H67" t="s">
        <v>44</v>
      </c>
      <c r="I67" t="s">
        <v>53</v>
      </c>
      <c r="J67" t="s">
        <v>79</v>
      </c>
      <c r="K67" t="s">
        <v>41</v>
      </c>
      <c r="L67" t="s">
        <v>42</v>
      </c>
      <c r="M67" s="3">
        <f t="shared" ref="M67:M101" si="1">N67</f>
        <v>3000</v>
      </c>
      <c r="N67">
        <v>3000</v>
      </c>
      <c r="O67" s="1">
        <v>44686</v>
      </c>
      <c r="P67" s="2">
        <v>44686</v>
      </c>
    </row>
    <row r="68" spans="1:16" hidden="1" x14ac:dyDescent="0.45">
      <c r="A68">
        <v>67</v>
      </c>
      <c r="C68" t="s">
        <v>137</v>
      </c>
      <c r="D68" t="s">
        <v>116</v>
      </c>
      <c r="E68">
        <v>2</v>
      </c>
      <c r="F68" t="s">
        <v>117</v>
      </c>
      <c r="G68" t="s">
        <v>118</v>
      </c>
      <c r="H68" t="s">
        <v>44</v>
      </c>
      <c r="I68" t="s">
        <v>28</v>
      </c>
      <c r="J68" t="s">
        <v>40</v>
      </c>
      <c r="K68" t="s">
        <v>22</v>
      </c>
      <c r="L68" t="s">
        <v>23</v>
      </c>
      <c r="M68" s="3">
        <f t="shared" si="1"/>
        <v>3000</v>
      </c>
      <c r="N68">
        <v>3000</v>
      </c>
      <c r="O68" s="1">
        <v>44691</v>
      </c>
      <c r="P68" s="2">
        <v>44691</v>
      </c>
    </row>
    <row r="69" spans="1:16" hidden="1" x14ac:dyDescent="0.45">
      <c r="A69">
        <v>68</v>
      </c>
      <c r="C69" t="s">
        <v>138</v>
      </c>
      <c r="D69" t="s">
        <v>130</v>
      </c>
      <c r="E69">
        <v>3</v>
      </c>
      <c r="F69" t="s">
        <v>117</v>
      </c>
      <c r="G69" t="s">
        <v>118</v>
      </c>
      <c r="H69" t="s">
        <v>19</v>
      </c>
      <c r="I69" t="s">
        <v>28</v>
      </c>
      <c r="J69" t="s">
        <v>40</v>
      </c>
      <c r="K69" t="s">
        <v>48</v>
      </c>
      <c r="L69" t="s">
        <v>49</v>
      </c>
      <c r="M69" s="3">
        <f t="shared" si="1"/>
        <v>3000</v>
      </c>
      <c r="N69">
        <v>3000</v>
      </c>
      <c r="O69" s="1">
        <v>44686</v>
      </c>
      <c r="P69" s="2">
        <v>44686</v>
      </c>
    </row>
    <row r="70" spans="1:16" hidden="1" x14ac:dyDescent="0.45">
      <c r="A70">
        <v>69</v>
      </c>
      <c r="C70" t="s">
        <v>139</v>
      </c>
      <c r="D70" t="s">
        <v>116</v>
      </c>
      <c r="E70">
        <v>1</v>
      </c>
      <c r="F70" t="s">
        <v>117</v>
      </c>
      <c r="G70" t="s">
        <v>118</v>
      </c>
      <c r="H70" t="s">
        <v>44</v>
      </c>
      <c r="I70" t="s">
        <v>28</v>
      </c>
      <c r="J70" t="s">
        <v>71</v>
      </c>
      <c r="K70" t="s">
        <v>22</v>
      </c>
      <c r="L70" t="s">
        <v>23</v>
      </c>
      <c r="M70" s="3">
        <f t="shared" si="1"/>
        <v>3000</v>
      </c>
      <c r="N70">
        <v>3000</v>
      </c>
      <c r="O70" s="1">
        <v>44691</v>
      </c>
      <c r="P70" s="2">
        <v>44691</v>
      </c>
    </row>
    <row r="71" spans="1:16" hidden="1" x14ac:dyDescent="0.45">
      <c r="A71">
        <v>70</v>
      </c>
      <c r="C71" t="s">
        <v>140</v>
      </c>
      <c r="D71" t="s">
        <v>120</v>
      </c>
      <c r="E71">
        <v>6</v>
      </c>
      <c r="F71" t="s">
        <v>117</v>
      </c>
      <c r="G71" t="s">
        <v>118</v>
      </c>
      <c r="H71" t="s">
        <v>44</v>
      </c>
      <c r="I71" t="s">
        <v>64</v>
      </c>
      <c r="J71" t="s">
        <v>47</v>
      </c>
      <c r="K71" t="s">
        <v>29</v>
      </c>
      <c r="L71" t="s">
        <v>30</v>
      </c>
      <c r="M71" s="3">
        <f t="shared" si="1"/>
        <v>5000</v>
      </c>
      <c r="N71">
        <v>5000</v>
      </c>
      <c r="O71" s="1">
        <v>44691</v>
      </c>
      <c r="P71" s="2">
        <v>44691</v>
      </c>
    </row>
    <row r="72" spans="1:16" x14ac:dyDescent="0.45">
      <c r="A72">
        <v>71</v>
      </c>
      <c r="C72" t="s">
        <v>141</v>
      </c>
      <c r="D72" t="s">
        <v>123</v>
      </c>
      <c r="E72">
        <v>2</v>
      </c>
      <c r="F72" t="s">
        <v>117</v>
      </c>
      <c r="G72" t="s">
        <v>118</v>
      </c>
      <c r="H72" t="s">
        <v>27</v>
      </c>
      <c r="I72" t="s">
        <v>61</v>
      </c>
      <c r="J72" t="s">
        <v>47</v>
      </c>
      <c r="K72" t="s">
        <v>35</v>
      </c>
      <c r="L72" t="s">
        <v>36</v>
      </c>
      <c r="M72" s="3">
        <f t="shared" si="1"/>
        <v>5000</v>
      </c>
      <c r="N72">
        <v>5000</v>
      </c>
      <c r="O72" s="1">
        <v>44684</v>
      </c>
      <c r="P72" s="2">
        <v>44684</v>
      </c>
    </row>
    <row r="73" spans="1:16" hidden="1" x14ac:dyDescent="0.45">
      <c r="A73">
        <v>72</v>
      </c>
      <c r="C73" t="s">
        <v>142</v>
      </c>
      <c r="D73" t="s">
        <v>126</v>
      </c>
      <c r="E73">
        <v>4</v>
      </c>
      <c r="F73" t="s">
        <v>117</v>
      </c>
      <c r="G73" t="s">
        <v>118</v>
      </c>
      <c r="H73" t="s">
        <v>59</v>
      </c>
      <c r="I73" t="s">
        <v>33</v>
      </c>
      <c r="J73" t="s">
        <v>34</v>
      </c>
      <c r="K73" t="s">
        <v>41</v>
      </c>
      <c r="L73" t="s">
        <v>42</v>
      </c>
      <c r="M73" s="3">
        <f t="shared" si="1"/>
        <v>5000</v>
      </c>
      <c r="N73">
        <v>5000</v>
      </c>
      <c r="O73" s="1">
        <v>44686</v>
      </c>
      <c r="P73" s="2">
        <v>44686</v>
      </c>
    </row>
    <row r="74" spans="1:16" x14ac:dyDescent="0.45">
      <c r="A74">
        <v>73</v>
      </c>
      <c r="C74" t="s">
        <v>143</v>
      </c>
      <c r="D74" t="s">
        <v>126</v>
      </c>
      <c r="E74">
        <v>3</v>
      </c>
      <c r="F74" t="s">
        <v>117</v>
      </c>
      <c r="G74" t="s">
        <v>118</v>
      </c>
      <c r="H74" t="s">
        <v>19</v>
      </c>
      <c r="I74" t="s">
        <v>61</v>
      </c>
      <c r="J74" t="s">
        <v>34</v>
      </c>
      <c r="K74" t="s">
        <v>41</v>
      </c>
      <c r="L74" t="s">
        <v>42</v>
      </c>
      <c r="M74" s="3">
        <f t="shared" si="1"/>
        <v>5000</v>
      </c>
      <c r="N74">
        <v>5000</v>
      </c>
      <c r="O74" s="1">
        <v>44686</v>
      </c>
      <c r="P74" s="2">
        <v>44686</v>
      </c>
    </row>
    <row r="75" spans="1:16" hidden="1" x14ac:dyDescent="0.45">
      <c r="A75">
        <v>74</v>
      </c>
      <c r="C75" t="s">
        <v>144</v>
      </c>
      <c r="D75" t="s">
        <v>123</v>
      </c>
      <c r="E75">
        <v>4</v>
      </c>
      <c r="F75" t="s">
        <v>117</v>
      </c>
      <c r="G75" t="s">
        <v>118</v>
      </c>
      <c r="H75" t="s">
        <v>19</v>
      </c>
      <c r="I75" t="s">
        <v>39</v>
      </c>
      <c r="J75" t="s">
        <v>21</v>
      </c>
      <c r="K75" t="s">
        <v>35</v>
      </c>
      <c r="L75" t="s">
        <v>36</v>
      </c>
      <c r="M75" s="3">
        <f t="shared" si="1"/>
        <v>10000</v>
      </c>
      <c r="N75">
        <v>10000</v>
      </c>
      <c r="O75" s="1">
        <v>44686</v>
      </c>
      <c r="P75" s="2">
        <v>44686</v>
      </c>
    </row>
    <row r="76" spans="1:16" hidden="1" x14ac:dyDescent="0.45">
      <c r="A76">
        <v>75</v>
      </c>
      <c r="C76" t="s">
        <v>145</v>
      </c>
      <c r="D76" t="s">
        <v>120</v>
      </c>
      <c r="E76">
        <v>1</v>
      </c>
      <c r="F76" t="s">
        <v>117</v>
      </c>
      <c r="G76" t="s">
        <v>118</v>
      </c>
      <c r="H76" t="s">
        <v>27</v>
      </c>
      <c r="I76" t="s">
        <v>53</v>
      </c>
      <c r="J76" t="s">
        <v>79</v>
      </c>
      <c r="K76" t="s">
        <v>29</v>
      </c>
      <c r="L76" t="s">
        <v>30</v>
      </c>
      <c r="M76" s="3">
        <f t="shared" si="1"/>
        <v>10000</v>
      </c>
      <c r="N76">
        <v>10000</v>
      </c>
      <c r="O76" s="1">
        <v>44686</v>
      </c>
      <c r="P76" s="2">
        <v>44686</v>
      </c>
    </row>
    <row r="77" spans="1:16" hidden="1" x14ac:dyDescent="0.45">
      <c r="A77">
        <v>76</v>
      </c>
      <c r="C77" t="s">
        <v>146</v>
      </c>
      <c r="D77" t="s">
        <v>120</v>
      </c>
      <c r="E77">
        <v>4</v>
      </c>
      <c r="F77" t="s">
        <v>117</v>
      </c>
      <c r="G77" t="s">
        <v>118</v>
      </c>
      <c r="H77" t="s">
        <v>59</v>
      </c>
      <c r="I77" t="s">
        <v>64</v>
      </c>
      <c r="J77" t="s">
        <v>71</v>
      </c>
      <c r="K77" t="s">
        <v>29</v>
      </c>
      <c r="L77" t="s">
        <v>30</v>
      </c>
      <c r="M77" s="3">
        <f t="shared" si="1"/>
        <v>10000</v>
      </c>
      <c r="N77">
        <v>10000</v>
      </c>
      <c r="O77" s="1">
        <v>44686</v>
      </c>
      <c r="P77" s="2">
        <v>44686</v>
      </c>
    </row>
    <row r="78" spans="1:16" hidden="1" x14ac:dyDescent="0.45">
      <c r="A78">
        <v>77</v>
      </c>
      <c r="C78" t="s">
        <v>147</v>
      </c>
      <c r="D78" t="s">
        <v>148</v>
      </c>
      <c r="E78">
        <v>4</v>
      </c>
      <c r="F78" t="s">
        <v>149</v>
      </c>
      <c r="G78" t="s">
        <v>150</v>
      </c>
      <c r="H78" t="s">
        <v>27</v>
      </c>
      <c r="I78" t="s">
        <v>66</v>
      </c>
      <c r="J78" t="s">
        <v>79</v>
      </c>
      <c r="K78" t="s">
        <v>41</v>
      </c>
      <c r="L78" t="s">
        <v>42</v>
      </c>
      <c r="M78" s="3">
        <f t="shared" si="1"/>
        <v>1000</v>
      </c>
      <c r="N78">
        <v>1000</v>
      </c>
      <c r="O78" s="1">
        <v>44693</v>
      </c>
      <c r="P78" s="2">
        <v>44693</v>
      </c>
    </row>
    <row r="79" spans="1:16" hidden="1" x14ac:dyDescent="0.45">
      <c r="A79">
        <v>78</v>
      </c>
      <c r="C79" t="s">
        <v>151</v>
      </c>
      <c r="D79" t="s">
        <v>152</v>
      </c>
      <c r="E79">
        <v>5</v>
      </c>
      <c r="F79" t="s">
        <v>149</v>
      </c>
      <c r="G79" t="s">
        <v>150</v>
      </c>
      <c r="H79" t="s">
        <v>19</v>
      </c>
      <c r="I79" t="s">
        <v>53</v>
      </c>
      <c r="J79" t="s">
        <v>57</v>
      </c>
      <c r="K79" t="s">
        <v>48</v>
      </c>
      <c r="L79" t="s">
        <v>49</v>
      </c>
      <c r="M79" s="3">
        <f t="shared" si="1"/>
        <v>1000</v>
      </c>
      <c r="N79">
        <v>1000</v>
      </c>
      <c r="O79" s="1">
        <v>44704</v>
      </c>
      <c r="P79" s="2">
        <v>44704</v>
      </c>
    </row>
    <row r="80" spans="1:16" hidden="1" x14ac:dyDescent="0.45">
      <c r="A80">
        <v>79</v>
      </c>
      <c r="C80" t="s">
        <v>153</v>
      </c>
      <c r="D80" t="s">
        <v>152</v>
      </c>
      <c r="E80">
        <v>2</v>
      </c>
      <c r="F80" t="s">
        <v>149</v>
      </c>
      <c r="G80" t="s">
        <v>150</v>
      </c>
      <c r="H80" t="s">
        <v>59</v>
      </c>
      <c r="I80" t="s">
        <v>33</v>
      </c>
      <c r="J80" t="s">
        <v>71</v>
      </c>
      <c r="K80" t="s">
        <v>48</v>
      </c>
      <c r="L80" t="s">
        <v>49</v>
      </c>
      <c r="M80" s="3">
        <f t="shared" si="1"/>
        <v>1000</v>
      </c>
      <c r="N80">
        <v>1000</v>
      </c>
      <c r="O80" s="1">
        <v>44693</v>
      </c>
      <c r="P80" s="2">
        <v>44693</v>
      </c>
    </row>
    <row r="81" spans="1:16" hidden="1" x14ac:dyDescent="0.45">
      <c r="A81">
        <v>80</v>
      </c>
      <c r="C81" t="s">
        <v>154</v>
      </c>
      <c r="D81" t="s">
        <v>155</v>
      </c>
      <c r="E81">
        <v>1</v>
      </c>
      <c r="F81" t="s">
        <v>149</v>
      </c>
      <c r="G81" t="s">
        <v>150</v>
      </c>
      <c r="H81" t="s">
        <v>27</v>
      </c>
      <c r="I81" t="s">
        <v>64</v>
      </c>
      <c r="J81" t="s">
        <v>79</v>
      </c>
      <c r="K81" t="s">
        <v>29</v>
      </c>
      <c r="L81" t="s">
        <v>30</v>
      </c>
      <c r="M81" s="3">
        <f t="shared" si="1"/>
        <v>1500</v>
      </c>
      <c r="N81">
        <v>1500</v>
      </c>
      <c r="O81" s="1">
        <v>44704</v>
      </c>
      <c r="P81" s="2">
        <v>44704</v>
      </c>
    </row>
    <row r="82" spans="1:16" hidden="1" x14ac:dyDescent="0.45">
      <c r="A82">
        <v>81</v>
      </c>
      <c r="C82" t="s">
        <v>156</v>
      </c>
      <c r="D82" t="s">
        <v>152</v>
      </c>
      <c r="E82">
        <v>6</v>
      </c>
      <c r="F82" t="s">
        <v>149</v>
      </c>
      <c r="G82" t="s">
        <v>150</v>
      </c>
      <c r="H82" t="s">
        <v>19</v>
      </c>
      <c r="I82" t="s">
        <v>61</v>
      </c>
      <c r="J82" t="s">
        <v>79</v>
      </c>
      <c r="K82" t="s">
        <v>48</v>
      </c>
      <c r="L82" t="s">
        <v>49</v>
      </c>
      <c r="M82" s="3">
        <f t="shared" si="1"/>
        <v>1500</v>
      </c>
      <c r="N82">
        <v>1500</v>
      </c>
      <c r="O82" s="1">
        <v>44704</v>
      </c>
      <c r="P82" s="2">
        <v>44704</v>
      </c>
    </row>
    <row r="83" spans="1:16" hidden="1" x14ac:dyDescent="0.45">
      <c r="A83">
        <v>82</v>
      </c>
      <c r="C83" t="s">
        <v>157</v>
      </c>
      <c r="D83" t="s">
        <v>148</v>
      </c>
      <c r="E83">
        <v>2</v>
      </c>
      <c r="F83" t="s">
        <v>149</v>
      </c>
      <c r="G83" t="s">
        <v>150</v>
      </c>
      <c r="H83" t="s">
        <v>44</v>
      </c>
      <c r="I83" t="s">
        <v>28</v>
      </c>
      <c r="J83" t="s">
        <v>57</v>
      </c>
      <c r="K83" t="s">
        <v>41</v>
      </c>
      <c r="L83" t="s">
        <v>42</v>
      </c>
      <c r="M83" s="3">
        <f t="shared" si="1"/>
        <v>1500</v>
      </c>
      <c r="N83">
        <v>1500</v>
      </c>
      <c r="O83" s="1">
        <v>44693</v>
      </c>
      <c r="P83" s="2">
        <v>44693</v>
      </c>
    </row>
    <row r="84" spans="1:16" hidden="1" x14ac:dyDescent="0.45">
      <c r="A84">
        <v>83</v>
      </c>
      <c r="C84" t="s">
        <v>158</v>
      </c>
      <c r="D84" t="s">
        <v>152</v>
      </c>
      <c r="E84">
        <v>3</v>
      </c>
      <c r="F84" t="s">
        <v>149</v>
      </c>
      <c r="G84" t="s">
        <v>150</v>
      </c>
      <c r="H84" t="s">
        <v>59</v>
      </c>
      <c r="I84" t="s">
        <v>39</v>
      </c>
      <c r="J84" t="s">
        <v>71</v>
      </c>
      <c r="K84" t="s">
        <v>48</v>
      </c>
      <c r="L84" t="s">
        <v>49</v>
      </c>
      <c r="M84" s="3">
        <f t="shared" si="1"/>
        <v>1500</v>
      </c>
      <c r="N84">
        <v>1500</v>
      </c>
      <c r="O84" s="1">
        <v>44693</v>
      </c>
      <c r="P84" s="2">
        <v>44693</v>
      </c>
    </row>
    <row r="85" spans="1:16" hidden="1" x14ac:dyDescent="0.45">
      <c r="A85">
        <v>84</v>
      </c>
      <c r="C85" t="s">
        <v>159</v>
      </c>
      <c r="D85" t="s">
        <v>160</v>
      </c>
      <c r="E85">
        <v>2</v>
      </c>
      <c r="F85" t="s">
        <v>149</v>
      </c>
      <c r="G85" t="s">
        <v>150</v>
      </c>
      <c r="H85" t="s">
        <v>19</v>
      </c>
      <c r="I85" t="s">
        <v>33</v>
      </c>
      <c r="J85" t="s">
        <v>47</v>
      </c>
      <c r="K85" t="s">
        <v>35</v>
      </c>
      <c r="L85" t="s">
        <v>36</v>
      </c>
      <c r="M85" s="3">
        <f t="shared" si="1"/>
        <v>2000</v>
      </c>
      <c r="N85">
        <v>2000</v>
      </c>
      <c r="O85" s="1">
        <v>44693</v>
      </c>
      <c r="P85" s="2">
        <v>44693</v>
      </c>
    </row>
    <row r="86" spans="1:16" hidden="1" x14ac:dyDescent="0.45">
      <c r="A86">
        <v>85</v>
      </c>
      <c r="C86" t="s">
        <v>161</v>
      </c>
      <c r="D86" t="s">
        <v>152</v>
      </c>
      <c r="E86">
        <v>7</v>
      </c>
      <c r="F86" t="s">
        <v>149</v>
      </c>
      <c r="G86" t="s">
        <v>150</v>
      </c>
      <c r="H86" t="s">
        <v>27</v>
      </c>
      <c r="I86" t="s">
        <v>61</v>
      </c>
      <c r="J86" t="s">
        <v>21</v>
      </c>
      <c r="K86" t="s">
        <v>48</v>
      </c>
      <c r="L86" t="s">
        <v>49</v>
      </c>
      <c r="M86" s="3">
        <f t="shared" si="1"/>
        <v>2000</v>
      </c>
      <c r="N86">
        <v>2000</v>
      </c>
      <c r="O86" s="1">
        <v>44704</v>
      </c>
      <c r="P86" s="2">
        <v>44704</v>
      </c>
    </row>
    <row r="87" spans="1:16" hidden="1" x14ac:dyDescent="0.45">
      <c r="A87">
        <v>86</v>
      </c>
      <c r="C87" t="s">
        <v>162</v>
      </c>
      <c r="D87" t="s">
        <v>152</v>
      </c>
      <c r="E87">
        <v>1</v>
      </c>
      <c r="F87" t="s">
        <v>149</v>
      </c>
      <c r="G87" t="s">
        <v>150</v>
      </c>
      <c r="H87" t="s">
        <v>27</v>
      </c>
      <c r="I87" t="s">
        <v>64</v>
      </c>
      <c r="J87" t="s">
        <v>21</v>
      </c>
      <c r="K87" t="s">
        <v>48</v>
      </c>
      <c r="L87" t="s">
        <v>49</v>
      </c>
      <c r="M87" s="3">
        <f t="shared" si="1"/>
        <v>2000</v>
      </c>
      <c r="N87">
        <v>2000</v>
      </c>
      <c r="O87" s="1">
        <v>44693</v>
      </c>
      <c r="P87" s="2">
        <v>44693</v>
      </c>
    </row>
    <row r="88" spans="1:16" hidden="1" x14ac:dyDescent="0.45">
      <c r="A88">
        <v>87</v>
      </c>
      <c r="C88" t="s">
        <v>163</v>
      </c>
      <c r="D88" t="s">
        <v>164</v>
      </c>
      <c r="E88">
        <v>2</v>
      </c>
      <c r="F88" t="s">
        <v>149</v>
      </c>
      <c r="G88" t="s">
        <v>150</v>
      </c>
      <c r="H88" t="s">
        <v>59</v>
      </c>
      <c r="I88" t="s">
        <v>61</v>
      </c>
      <c r="J88" t="s">
        <v>79</v>
      </c>
      <c r="K88" t="s">
        <v>22</v>
      </c>
      <c r="L88" t="s">
        <v>23</v>
      </c>
      <c r="M88" s="3">
        <f t="shared" si="1"/>
        <v>2000</v>
      </c>
      <c r="N88">
        <v>2000</v>
      </c>
      <c r="O88" s="1">
        <v>44704</v>
      </c>
      <c r="P88" s="2">
        <v>44704</v>
      </c>
    </row>
    <row r="89" spans="1:16" hidden="1" x14ac:dyDescent="0.45">
      <c r="A89">
        <v>88</v>
      </c>
      <c r="C89" t="s">
        <v>165</v>
      </c>
      <c r="D89" t="s">
        <v>160</v>
      </c>
      <c r="E89">
        <v>4</v>
      </c>
      <c r="F89" t="s">
        <v>149</v>
      </c>
      <c r="G89" t="s">
        <v>150</v>
      </c>
      <c r="H89" t="s">
        <v>59</v>
      </c>
      <c r="I89" t="s">
        <v>66</v>
      </c>
      <c r="J89" t="s">
        <v>79</v>
      </c>
      <c r="K89" t="s">
        <v>35</v>
      </c>
      <c r="L89" t="s">
        <v>36</v>
      </c>
      <c r="M89" s="3">
        <f t="shared" si="1"/>
        <v>2000</v>
      </c>
      <c r="N89">
        <v>2000</v>
      </c>
      <c r="O89" s="1">
        <v>44693</v>
      </c>
      <c r="P89" s="2">
        <v>44693</v>
      </c>
    </row>
    <row r="90" spans="1:16" hidden="1" x14ac:dyDescent="0.45">
      <c r="A90">
        <v>89</v>
      </c>
      <c r="C90" t="s">
        <v>166</v>
      </c>
      <c r="D90" t="s">
        <v>164</v>
      </c>
      <c r="E90">
        <v>4</v>
      </c>
      <c r="F90" t="s">
        <v>149</v>
      </c>
      <c r="G90" t="s">
        <v>150</v>
      </c>
      <c r="H90" t="s">
        <v>59</v>
      </c>
      <c r="I90" t="s">
        <v>66</v>
      </c>
      <c r="J90" t="s">
        <v>57</v>
      </c>
      <c r="K90" t="s">
        <v>22</v>
      </c>
      <c r="L90" t="s">
        <v>23</v>
      </c>
      <c r="M90" s="3">
        <f t="shared" si="1"/>
        <v>2000</v>
      </c>
      <c r="N90">
        <v>2000</v>
      </c>
      <c r="O90" s="1">
        <v>44704</v>
      </c>
      <c r="P90" s="2">
        <v>44704</v>
      </c>
    </row>
    <row r="91" spans="1:16" hidden="1" x14ac:dyDescent="0.45">
      <c r="A91">
        <v>90</v>
      </c>
      <c r="C91" t="s">
        <v>167</v>
      </c>
      <c r="D91" t="s">
        <v>164</v>
      </c>
      <c r="E91">
        <v>3</v>
      </c>
      <c r="F91" t="s">
        <v>149</v>
      </c>
      <c r="G91" t="s">
        <v>150</v>
      </c>
      <c r="H91" t="s">
        <v>44</v>
      </c>
      <c r="I91" t="s">
        <v>28</v>
      </c>
      <c r="J91" t="s">
        <v>71</v>
      </c>
      <c r="K91" t="s">
        <v>22</v>
      </c>
      <c r="L91" t="s">
        <v>23</v>
      </c>
      <c r="M91" s="3">
        <f t="shared" si="1"/>
        <v>2000</v>
      </c>
      <c r="N91">
        <v>2000</v>
      </c>
      <c r="O91" s="1">
        <v>44704</v>
      </c>
      <c r="P91" s="2">
        <v>44704</v>
      </c>
    </row>
    <row r="92" spans="1:16" hidden="1" x14ac:dyDescent="0.45">
      <c r="A92">
        <v>91</v>
      </c>
      <c r="C92" t="s">
        <v>168</v>
      </c>
      <c r="D92" t="s">
        <v>164</v>
      </c>
      <c r="E92">
        <v>1</v>
      </c>
      <c r="F92" t="s">
        <v>149</v>
      </c>
      <c r="G92" t="s">
        <v>150</v>
      </c>
      <c r="H92" t="s">
        <v>44</v>
      </c>
      <c r="I92" t="s">
        <v>28</v>
      </c>
      <c r="J92" t="s">
        <v>71</v>
      </c>
      <c r="K92" t="s">
        <v>22</v>
      </c>
      <c r="L92" t="s">
        <v>23</v>
      </c>
      <c r="M92" s="3">
        <f t="shared" si="1"/>
        <v>2000</v>
      </c>
      <c r="N92">
        <v>2000</v>
      </c>
      <c r="O92" s="1">
        <v>44704</v>
      </c>
      <c r="P92" s="2">
        <v>44704</v>
      </c>
    </row>
    <row r="93" spans="1:16" hidden="1" x14ac:dyDescent="0.45">
      <c r="A93">
        <v>92</v>
      </c>
      <c r="C93" t="s">
        <v>169</v>
      </c>
      <c r="D93" t="s">
        <v>160</v>
      </c>
      <c r="E93">
        <v>5</v>
      </c>
      <c r="F93" t="s">
        <v>149</v>
      </c>
      <c r="G93" t="s">
        <v>150</v>
      </c>
      <c r="H93" t="s">
        <v>44</v>
      </c>
      <c r="I93" t="s">
        <v>28</v>
      </c>
      <c r="J93" t="s">
        <v>34</v>
      </c>
      <c r="K93" t="s">
        <v>35</v>
      </c>
      <c r="L93" t="s">
        <v>36</v>
      </c>
      <c r="M93" s="3">
        <f t="shared" si="1"/>
        <v>3000</v>
      </c>
      <c r="N93">
        <v>3000</v>
      </c>
      <c r="O93" s="1">
        <v>44693</v>
      </c>
      <c r="P93" s="2">
        <v>44693</v>
      </c>
    </row>
    <row r="94" spans="1:16" hidden="1" x14ac:dyDescent="0.45">
      <c r="A94">
        <v>93</v>
      </c>
      <c r="C94" t="s">
        <v>170</v>
      </c>
      <c r="D94" t="s">
        <v>155</v>
      </c>
      <c r="E94">
        <v>3</v>
      </c>
      <c r="F94" t="s">
        <v>149</v>
      </c>
      <c r="G94" t="s">
        <v>150</v>
      </c>
      <c r="H94" t="s">
        <v>44</v>
      </c>
      <c r="I94" t="s">
        <v>33</v>
      </c>
      <c r="J94" t="s">
        <v>79</v>
      </c>
      <c r="K94" t="s">
        <v>29</v>
      </c>
      <c r="L94" t="s">
        <v>30</v>
      </c>
      <c r="M94" s="3">
        <f t="shared" si="1"/>
        <v>5000</v>
      </c>
      <c r="N94">
        <v>5000</v>
      </c>
      <c r="O94" s="1">
        <v>44704</v>
      </c>
      <c r="P94" s="2">
        <v>44704</v>
      </c>
    </row>
    <row r="95" spans="1:16" hidden="1" x14ac:dyDescent="0.45">
      <c r="A95">
        <v>94</v>
      </c>
      <c r="C95" t="s">
        <v>171</v>
      </c>
      <c r="D95" t="s">
        <v>155</v>
      </c>
      <c r="E95">
        <v>2</v>
      </c>
      <c r="F95" t="s">
        <v>149</v>
      </c>
      <c r="G95" t="s">
        <v>150</v>
      </c>
      <c r="H95" t="s">
        <v>19</v>
      </c>
      <c r="I95" t="s">
        <v>61</v>
      </c>
      <c r="J95" t="s">
        <v>79</v>
      </c>
      <c r="K95" t="s">
        <v>29</v>
      </c>
      <c r="L95" t="s">
        <v>30</v>
      </c>
      <c r="M95" s="3">
        <f t="shared" si="1"/>
        <v>5000</v>
      </c>
      <c r="N95">
        <v>5000</v>
      </c>
      <c r="O95" s="1">
        <v>44704</v>
      </c>
      <c r="P95" s="2">
        <v>44704</v>
      </c>
    </row>
    <row r="96" spans="1:16" hidden="1" x14ac:dyDescent="0.45">
      <c r="A96">
        <v>95</v>
      </c>
      <c r="C96" t="s">
        <v>172</v>
      </c>
      <c r="D96" t="s">
        <v>148</v>
      </c>
      <c r="E96">
        <v>3</v>
      </c>
      <c r="F96" t="s">
        <v>149</v>
      </c>
      <c r="G96" t="s">
        <v>150</v>
      </c>
      <c r="H96" t="s">
        <v>19</v>
      </c>
      <c r="I96" t="s">
        <v>53</v>
      </c>
      <c r="J96" t="s">
        <v>40</v>
      </c>
      <c r="K96" t="s">
        <v>41</v>
      </c>
      <c r="L96" t="s">
        <v>42</v>
      </c>
      <c r="M96" s="3">
        <f t="shared" si="1"/>
        <v>5000</v>
      </c>
      <c r="N96">
        <v>5000</v>
      </c>
      <c r="O96" s="1">
        <v>44693</v>
      </c>
      <c r="P96" s="2">
        <v>44693</v>
      </c>
    </row>
    <row r="97" spans="1:16" hidden="1" x14ac:dyDescent="0.45">
      <c r="A97">
        <v>96</v>
      </c>
      <c r="C97" t="s">
        <v>173</v>
      </c>
      <c r="D97" t="s">
        <v>160</v>
      </c>
      <c r="E97">
        <v>1</v>
      </c>
      <c r="F97" t="s">
        <v>149</v>
      </c>
      <c r="G97" t="s">
        <v>150</v>
      </c>
      <c r="H97" t="s">
        <v>44</v>
      </c>
      <c r="I97" t="s">
        <v>66</v>
      </c>
      <c r="J97" t="s">
        <v>71</v>
      </c>
      <c r="K97" t="s">
        <v>35</v>
      </c>
      <c r="L97" t="s">
        <v>36</v>
      </c>
      <c r="M97" s="3">
        <f t="shared" si="1"/>
        <v>5000</v>
      </c>
      <c r="N97">
        <v>5000</v>
      </c>
      <c r="O97" s="1">
        <v>44691</v>
      </c>
      <c r="P97" s="2">
        <v>44691</v>
      </c>
    </row>
    <row r="98" spans="1:16" hidden="1" x14ac:dyDescent="0.45">
      <c r="A98">
        <v>97</v>
      </c>
      <c r="C98" t="s">
        <v>174</v>
      </c>
      <c r="D98" t="s">
        <v>152</v>
      </c>
      <c r="E98">
        <v>4</v>
      </c>
      <c r="F98" t="s">
        <v>149</v>
      </c>
      <c r="G98" t="s">
        <v>150</v>
      </c>
      <c r="H98" t="s">
        <v>27</v>
      </c>
      <c r="I98" t="s">
        <v>33</v>
      </c>
      <c r="J98" t="s">
        <v>47</v>
      </c>
      <c r="K98" t="s">
        <v>48</v>
      </c>
      <c r="L98" t="s">
        <v>49</v>
      </c>
      <c r="M98" s="3">
        <f t="shared" si="1"/>
        <v>10000</v>
      </c>
      <c r="N98">
        <v>10000</v>
      </c>
      <c r="O98" s="1">
        <v>44693</v>
      </c>
      <c r="P98" s="2">
        <v>44693</v>
      </c>
    </row>
    <row r="99" spans="1:16" hidden="1" x14ac:dyDescent="0.45">
      <c r="A99">
        <v>98</v>
      </c>
      <c r="C99" t="s">
        <v>175</v>
      </c>
      <c r="D99" t="s">
        <v>148</v>
      </c>
      <c r="E99">
        <v>5</v>
      </c>
      <c r="F99" t="s">
        <v>149</v>
      </c>
      <c r="G99" t="s">
        <v>150</v>
      </c>
      <c r="H99" t="s">
        <v>27</v>
      </c>
      <c r="I99" t="s">
        <v>64</v>
      </c>
      <c r="J99" t="s">
        <v>21</v>
      </c>
      <c r="K99" t="s">
        <v>41</v>
      </c>
      <c r="L99" t="s">
        <v>42</v>
      </c>
      <c r="M99" s="3">
        <f t="shared" si="1"/>
        <v>10000</v>
      </c>
      <c r="N99">
        <v>10000</v>
      </c>
      <c r="O99" s="1">
        <v>44693</v>
      </c>
      <c r="P99" s="2">
        <v>44693</v>
      </c>
    </row>
    <row r="100" spans="1:16" hidden="1" x14ac:dyDescent="0.45">
      <c r="A100">
        <v>99</v>
      </c>
      <c r="C100" t="s">
        <v>176</v>
      </c>
      <c r="D100" t="s">
        <v>160</v>
      </c>
      <c r="E100">
        <v>3</v>
      </c>
      <c r="F100" t="s">
        <v>149</v>
      </c>
      <c r="G100" t="s">
        <v>150</v>
      </c>
      <c r="H100" t="s">
        <v>59</v>
      </c>
      <c r="I100" t="s">
        <v>66</v>
      </c>
      <c r="J100" t="s">
        <v>79</v>
      </c>
      <c r="K100" t="s">
        <v>35</v>
      </c>
      <c r="L100" t="s">
        <v>36</v>
      </c>
      <c r="M100" s="3">
        <f t="shared" si="1"/>
        <v>10000</v>
      </c>
      <c r="N100">
        <v>10000</v>
      </c>
      <c r="O100" s="1">
        <v>44693</v>
      </c>
      <c r="P100" s="2">
        <v>44693</v>
      </c>
    </row>
    <row r="101" spans="1:16" hidden="1" x14ac:dyDescent="0.45">
      <c r="A101">
        <v>100</v>
      </c>
      <c r="C101" t="s">
        <v>177</v>
      </c>
      <c r="D101" t="s">
        <v>148</v>
      </c>
      <c r="E101">
        <v>1</v>
      </c>
      <c r="F101" t="s">
        <v>149</v>
      </c>
      <c r="G101" t="s">
        <v>150</v>
      </c>
      <c r="H101" t="s">
        <v>59</v>
      </c>
      <c r="I101" t="s">
        <v>39</v>
      </c>
      <c r="J101" t="s">
        <v>57</v>
      </c>
      <c r="K101" t="s">
        <v>41</v>
      </c>
      <c r="L101" t="s">
        <v>42</v>
      </c>
      <c r="M101" s="3">
        <f t="shared" si="1"/>
        <v>10000</v>
      </c>
      <c r="N101">
        <v>10000</v>
      </c>
      <c r="O101" s="1">
        <v>44693</v>
      </c>
      <c r="P101" s="2">
        <v>44693</v>
      </c>
    </row>
  </sheetData>
  <phoneticPr fontId="18"/>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A95DE-ECAE-4E88-B79A-5ABBE2A447D8}">
  <dimension ref="B2:M32"/>
  <sheetViews>
    <sheetView topLeftCell="A9" workbookViewId="0">
      <selection activeCell="G24" sqref="G24"/>
    </sheetView>
  </sheetViews>
  <sheetFormatPr defaultRowHeight="18" x14ac:dyDescent="0.45"/>
  <sheetData>
    <row r="2" spans="2:13" x14ac:dyDescent="0.45">
      <c r="B2" t="s">
        <v>183</v>
      </c>
    </row>
    <row r="3" spans="2:13" x14ac:dyDescent="0.45">
      <c r="B3" s="4" t="s">
        <v>179</v>
      </c>
    </row>
    <row r="5" spans="2:13" x14ac:dyDescent="0.45">
      <c r="B5" t="s">
        <v>182</v>
      </c>
    </row>
    <row r="6" spans="2:13" x14ac:dyDescent="0.45">
      <c r="B6" s="4" t="s">
        <v>180</v>
      </c>
    </row>
    <row r="8" spans="2:13" x14ac:dyDescent="0.45">
      <c r="B8" t="s">
        <v>181</v>
      </c>
    </row>
    <row r="9" spans="2:13" x14ac:dyDescent="0.45">
      <c r="B9" s="4" t="s">
        <v>184</v>
      </c>
    </row>
    <row r="10" spans="2:13" x14ac:dyDescent="0.45">
      <c r="B10" s="4" t="s">
        <v>205</v>
      </c>
    </row>
    <row r="12" spans="2:13" x14ac:dyDescent="0.45">
      <c r="C12" t="s">
        <v>194</v>
      </c>
      <c r="E12" s="5" t="s">
        <v>195</v>
      </c>
      <c r="F12" s="5" t="s">
        <v>196</v>
      </c>
    </row>
    <row r="13" spans="2:13" x14ac:dyDescent="0.45">
      <c r="B13" t="s">
        <v>185</v>
      </c>
    </row>
    <row r="14" spans="2:13" x14ac:dyDescent="0.45">
      <c r="B14" t="s">
        <v>186</v>
      </c>
      <c r="K14" s="5" t="s">
        <v>203</v>
      </c>
      <c r="L14" s="5" t="s">
        <v>201</v>
      </c>
      <c r="M14" s="5" t="s">
        <v>202</v>
      </c>
    </row>
    <row r="15" spans="2:13" x14ac:dyDescent="0.45">
      <c r="B15" t="s">
        <v>187</v>
      </c>
      <c r="C15" t="str">
        <f t="shared" ref="C15:C20" si="0">$C$12&amp;$B15</f>
        <v>$all_category</v>
      </c>
      <c r="D15" t="s">
        <v>206</v>
      </c>
      <c r="F15" s="5" t="s">
        <v>204</v>
      </c>
      <c r="K15" t="str">
        <f>$K$14&amp;$B15&amp;$L$14&amp;$F15&amp;$M$14</f>
        <v>AND category IN('コート', 'ジャケット', 'ポロシャツ', 'Tシャツ')</v>
      </c>
    </row>
    <row r="16" spans="2:13" x14ac:dyDescent="0.45">
      <c r="B16" t="s">
        <v>188</v>
      </c>
      <c r="C16" t="str">
        <f t="shared" si="0"/>
        <v>$all_user</v>
      </c>
      <c r="D16" t="s">
        <v>207</v>
      </c>
      <c r="F16" s="5" t="s">
        <v>198</v>
      </c>
      <c r="K16" t="str">
        <f t="shared" ref="K16:K19" si="1">$K$14&amp;$B16&amp;$L$14&amp;$F16&amp;$M$14</f>
        <v>AND user IN('メンズ', 'レディース', '男女共用', 'キッズ')</v>
      </c>
    </row>
    <row r="17" spans="2:11" x14ac:dyDescent="0.45">
      <c r="B17" t="s">
        <v>189</v>
      </c>
      <c r="C17" t="str">
        <f t="shared" si="0"/>
        <v>$all_color</v>
      </c>
      <c r="D17" t="s">
        <v>208</v>
      </c>
      <c r="F17" s="5" t="s">
        <v>197</v>
      </c>
      <c r="K17" t="str">
        <f t="shared" si="1"/>
        <v>AND color IN('黒', '黄', '青', '赤', '紫', '白', 'ピンク', 'グレー')</v>
      </c>
    </row>
    <row r="18" spans="2:11" x14ac:dyDescent="0.45">
      <c r="B18" t="s">
        <v>190</v>
      </c>
      <c r="C18" t="str">
        <f t="shared" si="0"/>
        <v>$all_size</v>
      </c>
      <c r="D18" t="s">
        <v>209</v>
      </c>
      <c r="F18" s="5" t="s">
        <v>199</v>
      </c>
      <c r="K18" t="str">
        <f t="shared" si="1"/>
        <v>AND size IN('SS', 'S', 'M', 'L', 'LL', '3L', 'フリー')</v>
      </c>
    </row>
    <row r="19" spans="2:11" x14ac:dyDescent="0.45">
      <c r="B19" t="s">
        <v>191</v>
      </c>
      <c r="C19" t="str">
        <f t="shared" si="0"/>
        <v>$all_company</v>
      </c>
      <c r="D19" t="s">
        <v>210</v>
      </c>
      <c r="F19" s="5" t="s">
        <v>200</v>
      </c>
      <c r="K19" t="str">
        <f t="shared" si="1"/>
        <v>AND company IN('A社', 'B社', 'C社', 'D社', 'E社')</v>
      </c>
    </row>
    <row r="20" spans="2:11" x14ac:dyDescent="0.45">
      <c r="B20" t="s">
        <v>192</v>
      </c>
      <c r="C20" t="str">
        <f t="shared" si="0"/>
        <v>$all_price</v>
      </c>
      <c r="D20" t="s">
        <v>211</v>
      </c>
    </row>
    <row r="21" spans="2:11" x14ac:dyDescent="0.45">
      <c r="B21" t="s">
        <v>193</v>
      </c>
    </row>
    <row r="24" spans="2:11" x14ac:dyDescent="0.45">
      <c r="B24" s="4" t="s">
        <v>249</v>
      </c>
    </row>
    <row r="27" spans="2:11" x14ac:dyDescent="0.45">
      <c r="B27" t="s">
        <v>212</v>
      </c>
    </row>
    <row r="28" spans="2:11" x14ac:dyDescent="0.45">
      <c r="B28" t="s">
        <v>187</v>
      </c>
      <c r="C28" t="s">
        <v>214</v>
      </c>
    </row>
    <row r="29" spans="2:11" x14ac:dyDescent="0.45">
      <c r="B29" t="s">
        <v>188</v>
      </c>
      <c r="C29" t="s">
        <v>213</v>
      </c>
    </row>
    <row r="30" spans="2:11" x14ac:dyDescent="0.45">
      <c r="B30" t="s">
        <v>189</v>
      </c>
      <c r="C30" t="s">
        <v>215</v>
      </c>
    </row>
    <row r="31" spans="2:11" x14ac:dyDescent="0.45">
      <c r="B31" t="s">
        <v>190</v>
      </c>
      <c r="C31" t="s">
        <v>216</v>
      </c>
    </row>
    <row r="32" spans="2:11" x14ac:dyDescent="0.45">
      <c r="B32" t="s">
        <v>191</v>
      </c>
      <c r="C32" t="s">
        <v>217</v>
      </c>
    </row>
  </sheetData>
  <phoneticPr fontId="1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0A9B-461D-44C4-A939-2FEBAC0406B4}">
  <dimension ref="B2:B9"/>
  <sheetViews>
    <sheetView workbookViewId="0">
      <selection activeCell="H4" sqref="H4"/>
    </sheetView>
  </sheetViews>
  <sheetFormatPr defaultRowHeight="18" x14ac:dyDescent="0.45"/>
  <sheetData>
    <row r="2" spans="2:2" x14ac:dyDescent="0.45">
      <c r="B2" t="s">
        <v>219</v>
      </c>
    </row>
    <row r="3" spans="2:2" x14ac:dyDescent="0.45">
      <c r="B3" s="6" t="s">
        <v>218</v>
      </c>
    </row>
    <row r="5" spans="2:2" x14ac:dyDescent="0.45">
      <c r="B5" t="s">
        <v>220</v>
      </c>
    </row>
    <row r="6" spans="2:2" x14ac:dyDescent="0.45">
      <c r="B6" t="s">
        <v>221</v>
      </c>
    </row>
    <row r="7" spans="2:2" x14ac:dyDescent="0.45">
      <c r="B7" t="s">
        <v>222</v>
      </c>
    </row>
    <row r="8" spans="2:2" x14ac:dyDescent="0.45">
      <c r="B8" t="s">
        <v>223</v>
      </c>
    </row>
    <row r="9" spans="2:2" x14ac:dyDescent="0.45">
      <c r="B9" t="s">
        <v>224</v>
      </c>
    </row>
  </sheetData>
  <phoneticPr fontId="18"/>
  <hyperlinks>
    <hyperlink ref="B3" r:id="rId1" xr:uid="{DCF57864-2292-4EBD-B3F5-52BF01D62A78}"/>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B275A-432B-4A78-81DA-F9D97E272E54}">
  <dimension ref="A1:AC15"/>
  <sheetViews>
    <sheetView tabSelected="1" zoomScale="55" zoomScaleNormal="55" workbookViewId="0">
      <selection activeCell="AC10" sqref="AC10"/>
    </sheetView>
  </sheetViews>
  <sheetFormatPr defaultRowHeight="18" x14ac:dyDescent="0.45"/>
  <sheetData>
    <row r="1" spans="1:29" x14ac:dyDescent="0.45">
      <c r="A1" t="s">
        <v>225</v>
      </c>
    </row>
    <row r="2" spans="1:29" x14ac:dyDescent="0.45">
      <c r="O2" t="s">
        <v>226</v>
      </c>
      <c r="V2" t="s">
        <v>231</v>
      </c>
      <c r="AC2" t="s">
        <v>250</v>
      </c>
    </row>
    <row r="3" spans="1:29" x14ac:dyDescent="0.45">
      <c r="O3" s="6" t="s">
        <v>227</v>
      </c>
      <c r="V3" s="6" t="s">
        <v>230</v>
      </c>
      <c r="AC3" s="6" t="s">
        <v>251</v>
      </c>
    </row>
    <row r="6" spans="1:29" x14ac:dyDescent="0.45">
      <c r="O6" t="s">
        <v>219</v>
      </c>
    </row>
    <row r="7" spans="1:29" x14ac:dyDescent="0.45">
      <c r="O7" s="6" t="s">
        <v>218</v>
      </c>
    </row>
    <row r="13" spans="1:29" x14ac:dyDescent="0.45">
      <c r="Y13" t="s">
        <v>228</v>
      </c>
    </row>
    <row r="15" spans="1:29" x14ac:dyDescent="0.45">
      <c r="Y15" t="s">
        <v>229</v>
      </c>
    </row>
  </sheetData>
  <phoneticPr fontId="18"/>
  <hyperlinks>
    <hyperlink ref="O3" r:id="rId1" xr:uid="{B7C0A5CD-47BA-4FC5-99C6-3423F471AAD1}"/>
    <hyperlink ref="O7" r:id="rId2" xr:uid="{30DA9ACE-F7DB-4937-9310-8503C377B582}"/>
    <hyperlink ref="V3" r:id="rId3" xr:uid="{046D7AF6-4DDC-41AE-9A20-62CE2EC61676}"/>
    <hyperlink ref="AC3" r:id="rId4" xr:uid="{E98D2C7A-CA60-49D6-B14B-4CA4B2CF6C65}"/>
  </hyperlinks>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56C9-8247-4CD5-B26C-D7E52F19B829}">
  <dimension ref="B2:G9"/>
  <sheetViews>
    <sheetView workbookViewId="0">
      <selection activeCell="G11" sqref="G11"/>
    </sheetView>
  </sheetViews>
  <sheetFormatPr defaultRowHeight="18" x14ac:dyDescent="0.45"/>
  <cols>
    <col min="3" max="3" width="19.19921875" bestFit="1" customWidth="1"/>
  </cols>
  <sheetData>
    <row r="2" spans="2:7" x14ac:dyDescent="0.45">
      <c r="B2" t="s">
        <v>232</v>
      </c>
      <c r="C2" t="s">
        <v>241</v>
      </c>
      <c r="D2" t="s">
        <v>233</v>
      </c>
    </row>
    <row r="3" spans="2:7" x14ac:dyDescent="0.45">
      <c r="B3">
        <v>1</v>
      </c>
      <c r="C3" t="s">
        <v>242</v>
      </c>
      <c r="D3" t="s">
        <v>234</v>
      </c>
    </row>
    <row r="4" spans="2:7" x14ac:dyDescent="0.45">
      <c r="B4">
        <v>2</v>
      </c>
      <c r="C4" t="s">
        <v>248</v>
      </c>
      <c r="G4" t="s">
        <v>235</v>
      </c>
    </row>
    <row r="5" spans="2:7" x14ac:dyDescent="0.45">
      <c r="B5">
        <v>3</v>
      </c>
      <c r="C5" t="s">
        <v>247</v>
      </c>
      <c r="G5" t="s">
        <v>236</v>
      </c>
    </row>
    <row r="6" spans="2:7" x14ac:dyDescent="0.45">
      <c r="B6">
        <v>4</v>
      </c>
      <c r="C6" t="s">
        <v>243</v>
      </c>
      <c r="G6" t="s">
        <v>237</v>
      </c>
    </row>
    <row r="7" spans="2:7" x14ac:dyDescent="0.45">
      <c r="B7">
        <v>5</v>
      </c>
      <c r="C7" t="s">
        <v>244</v>
      </c>
      <c r="G7" t="s">
        <v>238</v>
      </c>
    </row>
    <row r="8" spans="2:7" x14ac:dyDescent="0.45">
      <c r="B8">
        <v>6</v>
      </c>
      <c r="C8" t="s">
        <v>245</v>
      </c>
      <c r="G8" t="s">
        <v>239</v>
      </c>
    </row>
    <row r="9" spans="2:7" x14ac:dyDescent="0.45">
      <c r="B9">
        <v>7</v>
      </c>
      <c r="C9" t="s">
        <v>246</v>
      </c>
      <c r="G9" t="s">
        <v>240</v>
      </c>
    </row>
  </sheetData>
  <phoneticPr fontId="18"/>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テーブル作成</vt:lpstr>
      <vt:lpstr>一時</vt:lpstr>
      <vt:lpstr>SQL</vt:lpstr>
      <vt:lpstr>Sheet1</vt:lpstr>
      <vt:lpstr>Shopify</vt:lpstr>
      <vt:lpstr>テスト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Shoma</dc:creator>
  <cp:lastModifiedBy>青山翔馬</cp:lastModifiedBy>
  <dcterms:created xsi:type="dcterms:W3CDTF">2022-06-20T02:45:59Z</dcterms:created>
  <dcterms:modified xsi:type="dcterms:W3CDTF">2022-06-24T07:46:33Z</dcterms:modified>
</cp:coreProperties>
</file>